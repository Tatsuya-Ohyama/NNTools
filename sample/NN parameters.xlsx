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50" windowHeight="12930"/>
  </bookViews>
  <sheets>
    <sheet name="Sheet1" sheetId="1" r:id="rId1"/>
  </sheets>
  <definedNames>
    <definedName name="solver_cvg" localSheetId="0" hidden="1">0.0001</definedName>
    <definedName name="solver_drv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opt" localSheetId="0" hidden="1">Sheet1!$L$2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</definedNames>
  <calcPr calcId="144525"/>
</workbook>
</file>

<file path=xl/sharedStrings.xml><?xml version="1.0" encoding="utf-8"?>
<sst xmlns="http://schemas.openxmlformats.org/spreadsheetml/2006/main" count="92" uniqueCount="47">
  <si>
    <t>∆H</t>
  </si>
  <si>
    <t>∆S</t>
  </si>
  <si>
    <t>∆G</t>
  </si>
  <si>
    <t>0.1M</t>
  </si>
  <si>
    <t>0.1M crowding</t>
  </si>
  <si>
    <t>Seq No</t>
  </si>
  <si>
    <t>∆G (observed)</t>
  </si>
  <si>
    <t>∆G (predicted)</t>
  </si>
  <si>
    <t>NN (predicted)</t>
  </si>
  <si>
    <t>AA/TT</t>
  </si>
  <si>
    <t>AT/TA</t>
  </si>
  <si>
    <t>TA/AT</t>
  </si>
  <si>
    <t>CA/GT</t>
  </si>
  <si>
    <t>GT/CA</t>
  </si>
  <si>
    <t>CT/GA</t>
  </si>
  <si>
    <t>GA/CT</t>
  </si>
  <si>
    <t>CG/GC</t>
  </si>
  <si>
    <t>GC/CG</t>
  </si>
  <si>
    <t>GG/CC</t>
  </si>
  <si>
    <t>initation GC</t>
  </si>
  <si>
    <t>initiation AT</t>
  </si>
  <si>
    <t>symmetry</t>
  </si>
  <si>
    <t>5'term TA</t>
  </si>
  <si>
    <t>SantaLucia et al, Biochemistry 1996 35 3555</t>
  </si>
  <si>
    <t>coeff_a</t>
  </si>
  <si>
    <t>coeff_b</t>
  </si>
  <si>
    <t>Calculation from Slope and Intercept function</t>
  </si>
  <si>
    <t>Calculation from fitting by linear regression</t>
  </si>
  <si>
    <t>Slope, Intercept</t>
  </si>
  <si>
    <t>simulation result</t>
  </si>
  <si>
    <t>0.669, 0.156</t>
  </si>
  <si>
    <t>0.1 M</t>
  </si>
  <si>
    <t>Just conversoin from Nakano equation</t>
  </si>
  <si>
    <t>Crowd</t>
  </si>
  <si>
    <t>Just conversoin from Nakano equation and us</t>
  </si>
  <si>
    <t>0.606, 0.1</t>
  </si>
  <si>
    <t>0.61,0.1</t>
  </si>
  <si>
    <t>0.61, 0.11</t>
  </si>
  <si>
    <t>0.62, 0.11</t>
  </si>
  <si>
    <t>0.64, 0.11</t>
  </si>
  <si>
    <t>0.65, 0.1</t>
  </si>
  <si>
    <t>0.654, 0.107</t>
  </si>
  <si>
    <t>0.658, 0.114</t>
  </si>
  <si>
    <t>0.66, 0.115</t>
  </si>
  <si>
    <t>0.661, 0.115</t>
  </si>
  <si>
    <t>0.665, 0.115</t>
  </si>
  <si>
    <t>0.666, 0.117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</si>
</sst>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  <numFmt numFmtId="43" formatCode="_ * #,##0.00_ ;_ * \-#,##0.00_ ;_ * &quot;-&quot;??_ ;_ @_ "/>
  </numFmts>
  <fonts count="22">
    <font>
      <sz val="12"/>
      <color theme="1"/>
      <name val="游ゴシック"/>
      <charset val="128"/>
      <scheme val="minor"/>
    </font>
    <font>
      <sz val="12"/>
      <color rgb="FF000000"/>
      <name val="游ゴシック"/>
      <charset val="128"/>
      <scheme val="minor"/>
    </font>
    <font>
      <sz val="11"/>
      <color rgb="FF9C0006"/>
      <name val="游ゴシック"/>
      <charset val="0"/>
      <scheme val="minor"/>
    </font>
    <font>
      <sz val="11"/>
      <color theme="1"/>
      <name val="游ゴシック"/>
      <charset val="134"/>
    </font>
    <font>
      <sz val="11"/>
      <color theme="1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8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theme="1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6500"/>
      <name val="游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6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40% - アクセント 6" xfId="1" builtinId="51"/>
    <cellStyle name="入力" xfId="2" builtinId="20"/>
    <cellStyle name="アクセント 5" xfId="3" builtinId="45"/>
    <cellStyle name="40% - アクセント 4" xfId="4" builtinId="43"/>
    <cellStyle name="20% - アクセント 4" xfId="5" builtinId="42"/>
    <cellStyle name="アクセント 4" xfId="6" builtinId="41"/>
    <cellStyle name="40% - アクセント 3" xfId="7" builtinId="39"/>
    <cellStyle name="タイトル" xfId="8" builtinId="15"/>
    <cellStyle name="20% - アクセント 3" xfId="9" builtinId="38"/>
    <cellStyle name="60% - アクセント 2" xfId="10" builtinId="36"/>
    <cellStyle name="20% - アクセント 2" xfId="11" builtinId="34"/>
    <cellStyle name="60% - アクセント 1" xfId="12" builtinId="32"/>
    <cellStyle name="アクセント 1" xfId="13" builtinId="29"/>
    <cellStyle name="60% - アクセント 4" xfId="14" builtinId="44"/>
    <cellStyle name="どちらでもない" xfId="15" builtinId="28"/>
    <cellStyle name="見出し 3" xfId="16" builtinId="18"/>
    <cellStyle name="40% - アクセント 1" xfId="17" builtinId="31"/>
    <cellStyle name="パーセント" xfId="18" builtinId="5"/>
    <cellStyle name="集計" xfId="19" builtinId="25"/>
    <cellStyle name="60% - アクセント 5" xfId="20" builtinId="48"/>
    <cellStyle name="20% - アクセント 6" xfId="21" builtinId="50"/>
    <cellStyle name="良い" xfId="22" builtinId="26"/>
    <cellStyle name="見出し 2" xfId="23" builtinId="17"/>
    <cellStyle name="リンクセル" xfId="24" builtinId="24"/>
    <cellStyle name="20% - アクセント 5" xfId="25" builtinId="46"/>
    <cellStyle name="桁区切り[0]" xfId="26" builtinId="6"/>
    <cellStyle name="見出し 1" xfId="27" builtinId="16"/>
    <cellStyle name="説明文" xfId="28" builtinId="53"/>
    <cellStyle name="通貨" xfId="29" builtinId="4"/>
    <cellStyle name="出力" xfId="30" builtinId="21"/>
    <cellStyle name="アクセント 2" xfId="31" builtinId="33"/>
    <cellStyle name="訪問済ハイパーリンク" xfId="32" builtinId="9"/>
    <cellStyle name="見出し 4" xfId="33" builtinId="19"/>
    <cellStyle name="メモ" xfId="34" builtinId="10"/>
    <cellStyle name="40% - アクセント 5" xfId="35" builtinId="47"/>
    <cellStyle name="計算" xfId="36" builtinId="22"/>
    <cellStyle name="アクセント 6" xfId="37" builtinId="49"/>
    <cellStyle name="ハイパーリンク" xfId="38" builtinId="8"/>
    <cellStyle name="60% - アクセント 3" xfId="39" builtinId="40"/>
    <cellStyle name="アクセント 3" xfId="40" builtinId="37"/>
    <cellStyle name="40% - アクセント 2" xfId="41" builtinId="35"/>
    <cellStyle name="20% - アクセント 1" xfId="42" builtinId="30"/>
    <cellStyle name="チェックセル" xfId="43" builtinId="23"/>
    <cellStyle name="通貨[0]" xfId="44" builtinId="7"/>
    <cellStyle name="桁区切り" xfId="45" builtinId="3"/>
    <cellStyle name="60% - アクセント 6" xfId="46" builtinId="52"/>
    <cellStyle name="悪い" xfId="47" builtinId="27"/>
    <cellStyle name="警告文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3603455818023"/>
                  <c:y val="-0.3006911636045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Sheet1!$K$2:$K$20</c:f>
              <c:numCache>
                <c:formatCode>General</c:formatCode>
                <c:ptCount val="19"/>
                <c:pt idx="0">
                  <c:v>-5.7</c:v>
                </c:pt>
                <c:pt idx="1">
                  <c:v>-5.35</c:v>
                </c:pt>
                <c:pt idx="2">
                  <c:v>-6.15</c:v>
                </c:pt>
                <c:pt idx="3">
                  <c:v>-3.75</c:v>
                </c:pt>
                <c:pt idx="4">
                  <c:v>-5</c:v>
                </c:pt>
                <c:pt idx="5">
                  <c:v>-5.85</c:v>
                </c:pt>
                <c:pt idx="6">
                  <c:v>-4.95</c:v>
                </c:pt>
                <c:pt idx="7">
                  <c:v>-9.35</c:v>
                </c:pt>
                <c:pt idx="8">
                  <c:v>-6.65</c:v>
                </c:pt>
                <c:pt idx="9">
                  <c:v>-4.5</c:v>
                </c:pt>
                <c:pt idx="10">
                  <c:v>-7</c:v>
                </c:pt>
                <c:pt idx="11">
                  <c:v>-6.7</c:v>
                </c:pt>
                <c:pt idx="12">
                  <c:v>-9.1</c:v>
                </c:pt>
                <c:pt idx="13">
                  <c:v>-12.2</c:v>
                </c:pt>
                <c:pt idx="14">
                  <c:v>-11.5</c:v>
                </c:pt>
                <c:pt idx="15">
                  <c:v>-7.2</c:v>
                </c:pt>
                <c:pt idx="16">
                  <c:v>-8.2</c:v>
                </c:pt>
                <c:pt idx="17">
                  <c:v>-13.6</c:v>
                </c:pt>
                <c:pt idx="18">
                  <c:v>-14.8</c:v>
                </c:pt>
              </c:numCache>
            </c:numRef>
          </c:xVal>
          <c:yVal>
            <c:numRef>
              <c:f>Sheet1!$L$2:$L$20</c:f>
              <c:numCache>
                <c:formatCode>General</c:formatCode>
                <c:ptCount val="19"/>
                <c:pt idx="0">
                  <c:v>-4.53642</c:v>
                </c:pt>
                <c:pt idx="1">
                  <c:v>-5.16771</c:v>
                </c:pt>
                <c:pt idx="2">
                  <c:v>-5.59587</c:v>
                </c:pt>
                <c:pt idx="3">
                  <c:v>-3.82302</c:v>
                </c:pt>
                <c:pt idx="4">
                  <c:v>-5.01384</c:v>
                </c:pt>
                <c:pt idx="5">
                  <c:v>-5.87259</c:v>
                </c:pt>
                <c:pt idx="6">
                  <c:v>-4.42086</c:v>
                </c:pt>
                <c:pt idx="7">
                  <c:v>-8.15388</c:v>
                </c:pt>
                <c:pt idx="8">
                  <c:v>-5.98206</c:v>
                </c:pt>
                <c:pt idx="9">
                  <c:v>-4.32051</c:v>
                </c:pt>
                <c:pt idx="10">
                  <c:v>-6.87609</c:v>
                </c:pt>
                <c:pt idx="11">
                  <c:v>-6.98556</c:v>
                </c:pt>
                <c:pt idx="12">
                  <c:v>-8.83869</c:v>
                </c:pt>
                <c:pt idx="13">
                  <c:v>-11.22945</c:v>
                </c:pt>
                <c:pt idx="14">
                  <c:v>-10.96854</c:v>
                </c:pt>
                <c:pt idx="15">
                  <c:v>-6.94116</c:v>
                </c:pt>
                <c:pt idx="16">
                  <c:v>-7.64361</c:v>
                </c:pt>
                <c:pt idx="17">
                  <c:v>-13.88112</c:v>
                </c:pt>
                <c:pt idx="18">
                  <c:v>-13.71387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25000"/>
        <c:axId val="147001816"/>
      </c:scatterChart>
      <c:valAx>
        <c:axId val="19842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001816"/>
        <c:crosses val="autoZero"/>
        <c:crossBetween val="midCat"/>
      </c:valAx>
      <c:valAx>
        <c:axId val="14700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2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609374453193351"/>
          <c:y val="0.197210557013707"/>
          <c:w val="0.916062554680665"/>
          <c:h val="0.777361111111111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Sheet1!$V$2:$V$20</c:f>
              <c:numCache>
                <c:formatCode>General</c:formatCode>
                <c:ptCount val="19"/>
                <c:pt idx="0">
                  <c:v>-4.53642</c:v>
                </c:pt>
                <c:pt idx="1">
                  <c:v>-5.16771</c:v>
                </c:pt>
                <c:pt idx="2">
                  <c:v>-5.59587</c:v>
                </c:pt>
                <c:pt idx="3">
                  <c:v>-3.82302</c:v>
                </c:pt>
                <c:pt idx="4">
                  <c:v>-5.01384</c:v>
                </c:pt>
                <c:pt idx="5">
                  <c:v>-5.87259</c:v>
                </c:pt>
                <c:pt idx="6">
                  <c:v>-4.42086</c:v>
                </c:pt>
                <c:pt idx="7">
                  <c:v>-8.15388</c:v>
                </c:pt>
                <c:pt idx="8">
                  <c:v>-5.98206</c:v>
                </c:pt>
                <c:pt idx="9">
                  <c:v>-4.32051</c:v>
                </c:pt>
                <c:pt idx="10">
                  <c:v>-6.87609</c:v>
                </c:pt>
                <c:pt idx="11">
                  <c:v>-6.98556</c:v>
                </c:pt>
                <c:pt idx="12">
                  <c:v>-8.83869</c:v>
                </c:pt>
                <c:pt idx="13">
                  <c:v>-11.22945</c:v>
                </c:pt>
                <c:pt idx="14">
                  <c:v>-10.96854</c:v>
                </c:pt>
                <c:pt idx="15">
                  <c:v>-6.94116</c:v>
                </c:pt>
                <c:pt idx="16">
                  <c:v>-7.64361</c:v>
                </c:pt>
                <c:pt idx="17">
                  <c:v>-13.88112</c:v>
                </c:pt>
                <c:pt idx="18">
                  <c:v>-13.71387</c:v>
                </c:pt>
              </c:numCache>
            </c:numRef>
          </c:xVal>
          <c:yVal>
            <c:numRef>
              <c:f>Sheet1!$W$2:$W$20</c:f>
              <c:numCache>
                <c:formatCode>General</c:formatCode>
                <c:ptCount val="19"/>
                <c:pt idx="0">
                  <c:v>-5.7</c:v>
                </c:pt>
                <c:pt idx="1">
                  <c:v>-5.35</c:v>
                </c:pt>
                <c:pt idx="2">
                  <c:v>-6.15</c:v>
                </c:pt>
                <c:pt idx="3">
                  <c:v>-3.75</c:v>
                </c:pt>
                <c:pt idx="4">
                  <c:v>-5</c:v>
                </c:pt>
                <c:pt idx="5">
                  <c:v>-5.85</c:v>
                </c:pt>
                <c:pt idx="6">
                  <c:v>-4.95</c:v>
                </c:pt>
                <c:pt idx="7">
                  <c:v>-9.35</c:v>
                </c:pt>
                <c:pt idx="8">
                  <c:v>-6.65</c:v>
                </c:pt>
                <c:pt idx="9">
                  <c:v>-4.5</c:v>
                </c:pt>
                <c:pt idx="10">
                  <c:v>-7</c:v>
                </c:pt>
                <c:pt idx="11">
                  <c:v>-6.7</c:v>
                </c:pt>
                <c:pt idx="12">
                  <c:v>-9.1</c:v>
                </c:pt>
                <c:pt idx="13">
                  <c:v>-12.2</c:v>
                </c:pt>
                <c:pt idx="14">
                  <c:v>-11.5</c:v>
                </c:pt>
                <c:pt idx="15">
                  <c:v>-7.2</c:v>
                </c:pt>
                <c:pt idx="16">
                  <c:v>-8.2</c:v>
                </c:pt>
                <c:pt idx="17">
                  <c:v>-13.6</c:v>
                </c:pt>
                <c:pt idx="18">
                  <c:v>-14.8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86224"/>
        <c:axId val="146486616"/>
      </c:scatterChart>
      <c:valAx>
        <c:axId val="14648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486616"/>
        <c:crosses val="autoZero"/>
        <c:crossBetween val="midCat"/>
      </c:valAx>
      <c:valAx>
        <c:axId val="14648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4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247650</xdr:colOff>
      <xdr:row>19</xdr:row>
      <xdr:rowOff>158750</xdr:rowOff>
    </xdr:from>
    <xdr:to>
      <xdr:col>18</xdr:col>
      <xdr:colOff>57150</xdr:colOff>
      <xdr:row>31</xdr:row>
      <xdr:rowOff>107950</xdr:rowOff>
    </xdr:to>
    <xdr:graphicFrame>
      <xdr:nvGraphicFramePr>
        <xdr:cNvPr id="3" name="グラフ 2"/>
        <xdr:cNvGraphicFramePr/>
      </xdr:nvGraphicFramePr>
      <xdr:xfrm>
        <a:off x="12506325" y="4864100"/>
        <a:ext cx="4524375" cy="29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333375</xdr:colOff>
      <xdr:row>10</xdr:row>
      <xdr:rowOff>0</xdr:rowOff>
    </xdr:from>
    <xdr:to>
      <xdr:col>29</xdr:col>
      <xdr:colOff>714375</xdr:colOff>
      <xdr:row>23</xdr:row>
      <xdr:rowOff>142875</xdr:rowOff>
    </xdr:to>
    <xdr:graphicFrame>
      <xdr:nvGraphicFramePr>
        <xdr:cNvPr id="5" name="Chart 4"/>
        <xdr:cNvGraphicFramePr/>
      </xdr:nvGraphicFramePr>
      <xdr:xfrm>
        <a:off x="22964775" y="2476500"/>
        <a:ext cx="5095875" cy="3362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90</xdr:row>
      <xdr:rowOff>0</xdr:rowOff>
    </xdr:from>
    <xdr:to>
      <xdr:col>21</xdr:col>
      <xdr:colOff>711835</xdr:colOff>
      <xdr:row>107</xdr:row>
      <xdr:rowOff>28575</xdr:rowOff>
    </xdr:to>
    <xdr:pic>
      <xdr:nvPicPr>
        <xdr:cNvPr id="8" name="図 6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4625" y="22288500"/>
          <a:ext cx="6369685" cy="423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31363D"/>
      </a:dk1>
      <a:lt1>
        <a:sysClr val="window" lastClr="F8F8F8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57"/>
  <sheetViews>
    <sheetView tabSelected="1" topLeftCell="D1" workbookViewId="0">
      <selection activeCell="L22" sqref="L22"/>
    </sheetView>
  </sheetViews>
  <sheetFormatPr defaultColWidth="11" defaultRowHeight="19.5"/>
  <sheetData>
    <row r="1" spans="3:14">
      <c r="C1" t="s">
        <v>0</v>
      </c>
      <c r="D1" t="s">
        <v>1</v>
      </c>
      <c r="E1" t="s">
        <v>2</v>
      </c>
      <c r="G1" t="s">
        <v>3</v>
      </c>
      <c r="H1" t="s">
        <v>4</v>
      </c>
      <c r="J1" t="s">
        <v>5</v>
      </c>
      <c r="K1" t="s">
        <v>6</v>
      </c>
      <c r="L1" t="s">
        <v>7</v>
      </c>
      <c r="N1" t="s">
        <v>8</v>
      </c>
    </row>
    <row r="2" spans="2:23">
      <c r="B2" t="s">
        <v>9</v>
      </c>
      <c r="C2">
        <v>-8.4</v>
      </c>
      <c r="D2">
        <v>-23.6</v>
      </c>
      <c r="E2">
        <v>-1.02</v>
      </c>
      <c r="G2">
        <f>0.63*E2-1.67</f>
        <v>-2.3126</v>
      </c>
      <c r="H2">
        <f>0.99*G2+2.32</f>
        <v>0.0305260000000001</v>
      </c>
      <c r="J2">
        <v>1</v>
      </c>
      <c r="K2">
        <v>-5.7</v>
      </c>
      <c r="L2">
        <f>N12+2*N9+N10+2*N11</f>
        <v>-4.53642</v>
      </c>
      <c r="M2" t="s">
        <v>9</v>
      </c>
      <c r="N2">
        <f>R2</f>
        <v>-0.52638</v>
      </c>
      <c r="R2">
        <f>E2*$Q$17+$Q$18</f>
        <v>-0.52638</v>
      </c>
      <c r="V2">
        <f t="shared" ref="V2:V20" si="0">L2</f>
        <v>-4.53642</v>
      </c>
      <c r="W2">
        <f t="shared" ref="W2:W20" si="1">K2</f>
        <v>-5.7</v>
      </c>
    </row>
    <row r="3" spans="2:23">
      <c r="B3" t="s">
        <v>10</v>
      </c>
      <c r="C3">
        <v>-6.5</v>
      </c>
      <c r="D3">
        <v>-18.8</v>
      </c>
      <c r="E3">
        <v>-0.73</v>
      </c>
      <c r="G3">
        <f t="shared" ref="G3:G15" si="2">0.63*E3-1.67</f>
        <v>-2.1299</v>
      </c>
      <c r="H3">
        <f t="shared" ref="H3:H15" si="3">0.99*G3+2.32</f>
        <v>0.211399</v>
      </c>
      <c r="J3">
        <v>2</v>
      </c>
      <c r="K3">
        <v>-5.35</v>
      </c>
      <c r="L3">
        <f>N12+2*N6+2*N8+N9+2*N11</f>
        <v>-5.16771</v>
      </c>
      <c r="M3" t="s">
        <v>10</v>
      </c>
      <c r="N3">
        <f t="shared" ref="N3:N15" si="4">R3</f>
        <v>-0.33237</v>
      </c>
      <c r="R3">
        <f t="shared" ref="R3:R15" si="5">E3*$Q$17+$Q$18</f>
        <v>-0.33237</v>
      </c>
      <c r="V3">
        <f t="shared" si="0"/>
        <v>-5.16771</v>
      </c>
      <c r="W3">
        <f t="shared" si="1"/>
        <v>-5.35</v>
      </c>
    </row>
    <row r="4" spans="2:23">
      <c r="B4" t="s">
        <v>11</v>
      </c>
      <c r="C4">
        <v>-6.3</v>
      </c>
      <c r="D4">
        <v>-18.5</v>
      </c>
      <c r="E4">
        <v>-0.6</v>
      </c>
      <c r="G4">
        <f t="shared" si="2"/>
        <v>-2.048</v>
      </c>
      <c r="H4">
        <f t="shared" si="3"/>
        <v>0.29248</v>
      </c>
      <c r="J4">
        <v>3</v>
      </c>
      <c r="K4">
        <v>-6.15</v>
      </c>
      <c r="L4">
        <f>N12+2*N6+2*N8+3*N9</f>
        <v>-5.59587</v>
      </c>
      <c r="M4" t="s">
        <v>11</v>
      </c>
      <c r="N4">
        <f t="shared" si="4"/>
        <v>-0.2454</v>
      </c>
      <c r="R4">
        <f t="shared" si="5"/>
        <v>-0.2454</v>
      </c>
      <c r="V4">
        <f t="shared" si="0"/>
        <v>-5.59587</v>
      </c>
      <c r="W4">
        <f t="shared" si="1"/>
        <v>-6.15</v>
      </c>
    </row>
    <row r="5" spans="2:23">
      <c r="B5" t="s">
        <v>12</v>
      </c>
      <c r="C5">
        <v>-7.4</v>
      </c>
      <c r="D5">
        <v>-19.3</v>
      </c>
      <c r="E5">
        <v>-1.38</v>
      </c>
      <c r="G5">
        <f t="shared" si="2"/>
        <v>-2.5394</v>
      </c>
      <c r="H5">
        <f t="shared" si="3"/>
        <v>-0.194006</v>
      </c>
      <c r="J5">
        <v>4</v>
      </c>
      <c r="K5">
        <v>-3.75</v>
      </c>
      <c r="L5">
        <f>N12+2*N2+2*N5+2*N7+N10</f>
        <v>-3.82302</v>
      </c>
      <c r="M5" t="s">
        <v>12</v>
      </c>
      <c r="N5">
        <f t="shared" si="4"/>
        <v>-0.76722</v>
      </c>
      <c r="R5">
        <f t="shared" si="5"/>
        <v>-0.76722</v>
      </c>
      <c r="V5">
        <f t="shared" si="0"/>
        <v>-3.82302</v>
      </c>
      <c r="W5">
        <f t="shared" si="1"/>
        <v>-3.75</v>
      </c>
    </row>
    <row r="6" spans="2:23">
      <c r="B6" t="s">
        <v>13</v>
      </c>
      <c r="C6">
        <v>-8.6</v>
      </c>
      <c r="D6">
        <v>-23</v>
      </c>
      <c r="E6">
        <v>-1.43</v>
      </c>
      <c r="G6">
        <f t="shared" si="2"/>
        <v>-2.5709</v>
      </c>
      <c r="H6">
        <f t="shared" si="3"/>
        <v>-0.225191</v>
      </c>
      <c r="J6">
        <v>5</v>
      </c>
      <c r="K6">
        <v>-5</v>
      </c>
      <c r="L6">
        <f>N12+N4+2*N6+2*N9+2*N11</f>
        <v>-5.01384</v>
      </c>
      <c r="M6" t="s">
        <v>13</v>
      </c>
      <c r="N6">
        <f t="shared" si="4"/>
        <v>-0.80067</v>
      </c>
      <c r="R6">
        <f t="shared" si="5"/>
        <v>-0.80067</v>
      </c>
      <c r="V6">
        <f t="shared" si="0"/>
        <v>-5.01384</v>
      </c>
      <c r="W6">
        <f t="shared" si="1"/>
        <v>-5</v>
      </c>
    </row>
    <row r="7" spans="2:23">
      <c r="B7" t="s">
        <v>14</v>
      </c>
      <c r="C7">
        <v>-6.1</v>
      </c>
      <c r="D7">
        <v>-16.1</v>
      </c>
      <c r="E7">
        <v>-1.16</v>
      </c>
      <c r="G7">
        <f t="shared" si="2"/>
        <v>-2.4008</v>
      </c>
      <c r="H7">
        <f t="shared" si="3"/>
        <v>-0.0567920000000002</v>
      </c>
      <c r="J7">
        <v>6</v>
      </c>
      <c r="K7">
        <v>-5.85</v>
      </c>
      <c r="L7">
        <f>N12+2*N3+4*N8+N9+2*N11</f>
        <v>-5.87259</v>
      </c>
      <c r="M7" t="s">
        <v>14</v>
      </c>
      <c r="N7">
        <f t="shared" si="4"/>
        <v>-0.62004</v>
      </c>
      <c r="R7">
        <f t="shared" si="5"/>
        <v>-0.62004</v>
      </c>
      <c r="V7">
        <f t="shared" si="0"/>
        <v>-5.87259</v>
      </c>
      <c r="W7">
        <f t="shared" si="1"/>
        <v>-5.85</v>
      </c>
    </row>
    <row r="8" spans="2:23">
      <c r="B8" t="s">
        <v>15</v>
      </c>
      <c r="C8">
        <v>-7.7</v>
      </c>
      <c r="D8">
        <v>-20.3</v>
      </c>
      <c r="E8">
        <v>-1.46</v>
      </c>
      <c r="G8">
        <f t="shared" si="2"/>
        <v>-2.5898</v>
      </c>
      <c r="H8">
        <f t="shared" si="3"/>
        <v>-0.243902</v>
      </c>
      <c r="J8">
        <v>7</v>
      </c>
      <c r="K8">
        <v>-4.95</v>
      </c>
      <c r="L8">
        <f>N13+2*N3+2*N5+2*N7+2*N8+N10</f>
        <v>-4.42086</v>
      </c>
      <c r="M8" t="s">
        <v>15</v>
      </c>
      <c r="N8">
        <f t="shared" si="4"/>
        <v>-0.82074</v>
      </c>
      <c r="R8">
        <f t="shared" si="5"/>
        <v>-0.82074</v>
      </c>
      <c r="V8">
        <f t="shared" si="0"/>
        <v>-4.42086</v>
      </c>
      <c r="W8">
        <f t="shared" si="1"/>
        <v>-4.95</v>
      </c>
    </row>
    <row r="9" spans="2:23">
      <c r="B9" t="s">
        <v>16</v>
      </c>
      <c r="C9">
        <v>-10.1</v>
      </c>
      <c r="D9">
        <v>-25.5</v>
      </c>
      <c r="E9">
        <v>-2.09</v>
      </c>
      <c r="G9">
        <f t="shared" si="2"/>
        <v>-2.9867</v>
      </c>
      <c r="H9">
        <f t="shared" si="3"/>
        <v>-0.636833</v>
      </c>
      <c r="J9">
        <v>8</v>
      </c>
      <c r="K9">
        <v>-9.35</v>
      </c>
      <c r="L9">
        <f>N13+2*N5+2*N9+3*N10+2*N11</f>
        <v>-8.15388</v>
      </c>
      <c r="M9" t="s">
        <v>16</v>
      </c>
      <c r="N9">
        <f t="shared" si="4"/>
        <v>-1.24221</v>
      </c>
      <c r="R9">
        <f t="shared" si="5"/>
        <v>-1.24221</v>
      </c>
      <c r="V9">
        <f t="shared" si="0"/>
        <v>-8.15388</v>
      </c>
      <c r="W9">
        <f t="shared" si="1"/>
        <v>-9.35</v>
      </c>
    </row>
    <row r="10" spans="2:23">
      <c r="B10" t="s">
        <v>17</v>
      </c>
      <c r="C10">
        <v>-11.1</v>
      </c>
      <c r="D10">
        <v>-28.4</v>
      </c>
      <c r="E10">
        <v>-2.28</v>
      </c>
      <c r="G10">
        <f t="shared" si="2"/>
        <v>-3.1064</v>
      </c>
      <c r="H10">
        <f t="shared" si="3"/>
        <v>-0.755336</v>
      </c>
      <c r="J10">
        <v>9</v>
      </c>
      <c r="K10">
        <v>-6.65</v>
      </c>
      <c r="L10">
        <f>N12+2*N3+2*N4+2*N5+2*N7+N10+2*N11</f>
        <v>-5.98206</v>
      </c>
      <c r="M10" t="s">
        <v>17</v>
      </c>
      <c r="N10">
        <f t="shared" si="4"/>
        <v>-1.36932</v>
      </c>
      <c r="R10">
        <f t="shared" si="5"/>
        <v>-1.36932</v>
      </c>
      <c r="V10">
        <f t="shared" si="0"/>
        <v>-5.98206</v>
      </c>
      <c r="W10">
        <f t="shared" si="1"/>
        <v>-6.65</v>
      </c>
    </row>
    <row r="11" spans="2:23">
      <c r="B11" t="s">
        <v>18</v>
      </c>
      <c r="C11">
        <v>-6.7</v>
      </c>
      <c r="D11">
        <v>-15.6</v>
      </c>
      <c r="E11">
        <v>-1.77</v>
      </c>
      <c r="G11">
        <f t="shared" si="2"/>
        <v>-2.7851</v>
      </c>
      <c r="H11">
        <f t="shared" si="3"/>
        <v>-0.437249</v>
      </c>
      <c r="J11">
        <v>10</v>
      </c>
      <c r="K11">
        <v>-4.5</v>
      </c>
      <c r="L11">
        <f>N13+N3+2*N5+2*N6+2*N7+2*N8</f>
        <v>-4.32051</v>
      </c>
      <c r="M11" t="s">
        <v>18</v>
      </c>
      <c r="N11">
        <f t="shared" si="4"/>
        <v>-1.02813</v>
      </c>
      <c r="R11">
        <f t="shared" si="5"/>
        <v>-1.02813</v>
      </c>
      <c r="V11">
        <f t="shared" si="0"/>
        <v>-4.32051</v>
      </c>
      <c r="W11">
        <f t="shared" si="1"/>
        <v>-4.5</v>
      </c>
    </row>
    <row r="12" spans="2:23">
      <c r="B12" t="s">
        <v>19</v>
      </c>
      <c r="C12">
        <v>0</v>
      </c>
      <c r="D12">
        <v>-5.9</v>
      </c>
      <c r="E12">
        <v>1.82</v>
      </c>
      <c r="G12">
        <f t="shared" si="2"/>
        <v>-0.5234</v>
      </c>
      <c r="H12">
        <f t="shared" si="3"/>
        <v>1.801834</v>
      </c>
      <c r="J12">
        <v>11</v>
      </c>
      <c r="K12">
        <v>-7</v>
      </c>
      <c r="L12">
        <f>N12+2*N2+N3+2*N8+2*N9+2*N10</f>
        <v>-6.87609</v>
      </c>
      <c r="M12" t="s">
        <v>19</v>
      </c>
      <c r="N12">
        <f t="shared" si="4"/>
        <v>1.37358</v>
      </c>
      <c r="R12">
        <f t="shared" si="5"/>
        <v>1.37358</v>
      </c>
      <c r="V12">
        <f t="shared" si="0"/>
        <v>-6.87609</v>
      </c>
      <c r="W12">
        <f t="shared" si="1"/>
        <v>-7</v>
      </c>
    </row>
    <row r="13" spans="2:23">
      <c r="B13" t="s">
        <v>20</v>
      </c>
      <c r="C13">
        <v>0</v>
      </c>
      <c r="D13">
        <v>0</v>
      </c>
      <c r="E13">
        <v>2.8</v>
      </c>
      <c r="G13">
        <f t="shared" si="2"/>
        <v>0.0939999999999999</v>
      </c>
      <c r="H13">
        <f t="shared" si="3"/>
        <v>2.41306</v>
      </c>
      <c r="J13">
        <v>12</v>
      </c>
      <c r="K13">
        <v>-6.7</v>
      </c>
      <c r="L13">
        <f>N13+2*N3+N4+2*N7+2*N8+2*N9+2*N10</f>
        <v>-6.98556</v>
      </c>
      <c r="M13" t="s">
        <v>20</v>
      </c>
      <c r="N13">
        <f t="shared" si="4"/>
        <v>2.0292</v>
      </c>
      <c r="R13">
        <f t="shared" si="5"/>
        <v>2.0292</v>
      </c>
      <c r="V13">
        <f t="shared" si="0"/>
        <v>-6.98556</v>
      </c>
      <c r="W13">
        <f t="shared" si="1"/>
        <v>-6.7</v>
      </c>
    </row>
    <row r="14" spans="2:23">
      <c r="B14" t="s">
        <v>21</v>
      </c>
      <c r="C14">
        <v>0</v>
      </c>
      <c r="D14">
        <v>-1.4</v>
      </c>
      <c r="E14">
        <v>0.4</v>
      </c>
      <c r="G14">
        <f t="shared" si="2"/>
        <v>-1.418</v>
      </c>
      <c r="H14">
        <f t="shared" si="3"/>
        <v>0.91618</v>
      </c>
      <c r="J14">
        <v>13</v>
      </c>
      <c r="K14">
        <v>-9.1</v>
      </c>
      <c r="L14">
        <f>N12+4*N6+4*N8+3*N9</f>
        <v>-8.83869</v>
      </c>
      <c r="M14" t="s">
        <v>21</v>
      </c>
      <c r="N14">
        <f t="shared" si="4"/>
        <v>0.4236</v>
      </c>
      <c r="R14">
        <f t="shared" si="5"/>
        <v>0.4236</v>
      </c>
      <c r="V14">
        <f t="shared" si="0"/>
        <v>-8.83869</v>
      </c>
      <c r="W14">
        <f t="shared" si="1"/>
        <v>-9.1</v>
      </c>
    </row>
    <row r="15" spans="2:23">
      <c r="B15" t="s">
        <v>22</v>
      </c>
      <c r="C15">
        <v>0.4</v>
      </c>
      <c r="D15">
        <v>0</v>
      </c>
      <c r="E15">
        <v>0.4</v>
      </c>
      <c r="G15">
        <f t="shared" si="2"/>
        <v>-1.418</v>
      </c>
      <c r="H15">
        <f t="shared" si="3"/>
        <v>0.91618</v>
      </c>
      <c r="J15">
        <v>14</v>
      </c>
      <c r="K15">
        <v>-12.2</v>
      </c>
      <c r="L15">
        <f>N12+2*N2+2*N5+2*N7+N9+4*N10+2*N11</f>
        <v>-11.22945</v>
      </c>
      <c r="M15" t="s">
        <v>22</v>
      </c>
      <c r="N15">
        <f t="shared" si="4"/>
        <v>0.4236</v>
      </c>
      <c r="R15">
        <f t="shared" si="5"/>
        <v>0.4236</v>
      </c>
      <c r="V15">
        <f t="shared" si="0"/>
        <v>-11.22945</v>
      </c>
      <c r="W15">
        <f t="shared" si="1"/>
        <v>-12.2</v>
      </c>
    </row>
    <row r="16" spans="10:23">
      <c r="J16">
        <v>15</v>
      </c>
      <c r="K16">
        <v>-11.5</v>
      </c>
      <c r="L16">
        <f>N12+2*N3+4*N8+4*N9+N10+2*N11</f>
        <v>-10.96854</v>
      </c>
      <c r="V16">
        <f t="shared" si="0"/>
        <v>-10.96854</v>
      </c>
      <c r="W16">
        <f t="shared" si="1"/>
        <v>-11.5</v>
      </c>
    </row>
    <row r="17" spans="2:23">
      <c r="B17" t="s">
        <v>23</v>
      </c>
      <c r="J17">
        <v>16</v>
      </c>
      <c r="K17">
        <v>-7.2</v>
      </c>
      <c r="L17">
        <f>N12+4*N3+2*N4+4*N5+N10+2*N11</f>
        <v>-6.94116</v>
      </c>
      <c r="P17" t="s">
        <v>24</v>
      </c>
      <c r="Q17">
        <v>0.669</v>
      </c>
      <c r="V17">
        <f t="shared" si="0"/>
        <v>-6.94116</v>
      </c>
      <c r="W17">
        <f t="shared" si="1"/>
        <v>-7.2</v>
      </c>
    </row>
    <row r="18" spans="10:23">
      <c r="J18">
        <v>17</v>
      </c>
      <c r="K18">
        <v>-8.2</v>
      </c>
      <c r="L18">
        <f>N12+2*N2+2*N3+2*N5+2*N7+4*N8+N9</f>
        <v>-7.64361</v>
      </c>
      <c r="P18" t="s">
        <v>25</v>
      </c>
      <c r="Q18">
        <v>0.156</v>
      </c>
      <c r="V18">
        <f t="shared" si="0"/>
        <v>-7.64361</v>
      </c>
      <c r="W18">
        <f t="shared" si="1"/>
        <v>-8.2</v>
      </c>
    </row>
    <row r="19" spans="10:23">
      <c r="J19">
        <v>18</v>
      </c>
      <c r="K19">
        <v>-13.6</v>
      </c>
      <c r="L19">
        <f>N12+2*N4+4*N6+6*N9+3*N10</f>
        <v>-13.88112</v>
      </c>
      <c r="V19">
        <f t="shared" si="0"/>
        <v>-13.88112</v>
      </c>
      <c r="W19">
        <f t="shared" si="1"/>
        <v>-13.6</v>
      </c>
    </row>
    <row r="20" spans="10:23">
      <c r="J20">
        <v>19</v>
      </c>
      <c r="K20">
        <v>-14.8</v>
      </c>
      <c r="L20">
        <f>N12+2*N2+2*N5+2*N7+3*N9+4*N10+2*N11</f>
        <v>-13.71387</v>
      </c>
      <c r="V20">
        <f t="shared" si="0"/>
        <v>-13.71387</v>
      </c>
      <c r="W20">
        <f t="shared" si="1"/>
        <v>-14.8</v>
      </c>
    </row>
    <row r="22" spans="12:12">
      <c r="L22">
        <f>CORREL(K2:K20,L2:L20)</f>
        <v>0.989730008969956</v>
      </c>
    </row>
    <row r="24" spans="3:11">
      <c r="C24" t="s">
        <v>26</v>
      </c>
      <c r="G24" t="s">
        <v>27</v>
      </c>
      <c r="K24">
        <f>INTERCEPT(K2:K20,L2:L20)</f>
        <v>-0.19305170371356</v>
      </c>
    </row>
    <row r="25" spans="4:7">
      <c r="D25" t="s">
        <v>28</v>
      </c>
      <c r="E25" t="s">
        <v>29</v>
      </c>
      <c r="G25" t="s">
        <v>28</v>
      </c>
    </row>
    <row r="26" spans="4:11">
      <c r="D26">
        <v>0.65</v>
      </c>
      <c r="E26">
        <v>0.490318803633028</v>
      </c>
      <c r="G26" s="1" t="s">
        <v>30</v>
      </c>
      <c r="K26">
        <f>SLOPE(K2:K20,L2:L20)</f>
        <v>1.02798679546645</v>
      </c>
    </row>
    <row r="27" spans="5:5">
      <c r="E27">
        <v>0.933046185186561</v>
      </c>
    </row>
    <row r="28" spans="4:5">
      <c r="D28">
        <v>0.6</v>
      </c>
      <c r="E28">
        <v>0.490318803633024</v>
      </c>
    </row>
    <row r="29" spans="5:5">
      <c r="E29">
        <v>1.01080003395211</v>
      </c>
    </row>
    <row r="30" spans="4:5">
      <c r="D30">
        <v>0.615</v>
      </c>
      <c r="E30" s="2">
        <v>0.4903188</v>
      </c>
    </row>
    <row r="31" spans="5:5">
      <c r="E31" s="2">
        <v>0.98614637</v>
      </c>
    </row>
    <row r="32" spans="4:5">
      <c r="D32">
        <v>0.606</v>
      </c>
      <c r="E32">
        <v>0.490318803633026</v>
      </c>
    </row>
    <row r="33" spans="5:17">
      <c r="E33">
        <v>1.00079211282387</v>
      </c>
      <c r="H33" t="s">
        <v>31</v>
      </c>
      <c r="I33" t="s">
        <v>32</v>
      </c>
      <c r="P33" t="s">
        <v>33</v>
      </c>
      <c r="Q33" t="s">
        <v>34</v>
      </c>
    </row>
    <row r="34" spans="4:17">
      <c r="D34" t="s">
        <v>35</v>
      </c>
      <c r="E34">
        <v>0.0334353159014409</v>
      </c>
      <c r="I34" t="s">
        <v>5</v>
      </c>
      <c r="Q34" t="s">
        <v>5</v>
      </c>
    </row>
    <row r="35" spans="5:23">
      <c r="E35">
        <v>1.09328016651771</v>
      </c>
      <c r="I35">
        <v>1</v>
      </c>
      <c r="J35">
        <v>-5.7</v>
      </c>
      <c r="K35">
        <f>M45+2*M42+M43+2*M44</f>
        <v>-15.1734</v>
      </c>
      <c r="L35" t="s">
        <v>9</v>
      </c>
      <c r="M35">
        <v>-2.3126</v>
      </c>
      <c r="O35">
        <v>-2.3126</v>
      </c>
      <c r="Q35">
        <v>1</v>
      </c>
      <c r="R35">
        <v>-5.7</v>
      </c>
      <c r="S35">
        <f>U45+2*U42+U43+2*U44</f>
        <v>-1.101666</v>
      </c>
      <c r="T35" t="s">
        <v>9</v>
      </c>
      <c r="U35">
        <v>0.0305260000000001</v>
      </c>
      <c r="W35">
        <v>0.0305260000000001</v>
      </c>
    </row>
    <row r="36" spans="4:23">
      <c r="D36" t="s">
        <v>36</v>
      </c>
      <c r="E36">
        <v>0.0368354755840326</v>
      </c>
      <c r="I36">
        <v>2</v>
      </c>
      <c r="J36">
        <v>-5.35</v>
      </c>
      <c r="K36">
        <f>M45+2*M39+2*M41+M42+2*M44</f>
        <v>-19.4017</v>
      </c>
      <c r="L36" t="s">
        <v>10</v>
      </c>
      <c r="M36">
        <v>-2.1299</v>
      </c>
      <c r="O36">
        <v>-2.1299</v>
      </c>
      <c r="Q36">
        <v>2</v>
      </c>
      <c r="R36">
        <v>-5.35</v>
      </c>
      <c r="S36">
        <f>U45+2*U39+2*U41+U42+2*U44</f>
        <v>-0.647683</v>
      </c>
      <c r="T36" t="s">
        <v>10</v>
      </c>
      <c r="U36">
        <v>0.211399</v>
      </c>
      <c r="W36">
        <v>0.211399</v>
      </c>
    </row>
    <row r="37" spans="5:23">
      <c r="E37">
        <v>1.08547132219743</v>
      </c>
      <c r="I37">
        <v>3</v>
      </c>
      <c r="J37">
        <v>-6.15</v>
      </c>
      <c r="K37">
        <f>M45+2*M39+2*M41+3*M42</f>
        <v>-19.8049</v>
      </c>
      <c r="L37" t="s">
        <v>11</v>
      </c>
      <c r="M37">
        <v>-2.048</v>
      </c>
      <c r="O37">
        <v>-2.048</v>
      </c>
      <c r="Q37">
        <v>3</v>
      </c>
      <c r="R37">
        <v>-6.15</v>
      </c>
      <c r="S37">
        <f>U45+2*U39+2*U41+3*U42</f>
        <v>-1.046851</v>
      </c>
      <c r="T37" t="s">
        <v>11</v>
      </c>
      <c r="U37">
        <v>0.29248</v>
      </c>
      <c r="W37">
        <v>0.29248</v>
      </c>
    </row>
    <row r="38" spans="4:23">
      <c r="D38" t="s">
        <v>37</v>
      </c>
      <c r="E38">
        <v>-0.015310498685297</v>
      </c>
      <c r="I38">
        <v>4</v>
      </c>
      <c r="J38">
        <v>-3.75</v>
      </c>
      <c r="K38">
        <f>M45+2*M35+2*M38+2*M40+M43</f>
        <v>-18.1354</v>
      </c>
      <c r="L38" t="s">
        <v>12</v>
      </c>
      <c r="M38">
        <v>-2.5394</v>
      </c>
      <c r="O38">
        <v>-2.5394</v>
      </c>
      <c r="Q38">
        <v>4</v>
      </c>
      <c r="R38">
        <v>-3.75</v>
      </c>
      <c r="S38">
        <f>U45+2*U35+2*U38+2*U40+U43</f>
        <v>0.605954</v>
      </c>
      <c r="T38" t="s">
        <v>12</v>
      </c>
      <c r="U38">
        <v>-0.194006</v>
      </c>
      <c r="W38">
        <v>-0.194006</v>
      </c>
    </row>
    <row r="39" spans="5:23">
      <c r="E39">
        <v>1.0952174162274</v>
      </c>
      <c r="I39">
        <v>5</v>
      </c>
      <c r="J39">
        <v>-5</v>
      </c>
      <c r="K39">
        <f>M45+M37+2*M39+2*M42+2*M44</f>
        <v>-19.2568</v>
      </c>
      <c r="L39" t="s">
        <v>13</v>
      </c>
      <c r="M39">
        <v>-2.5709</v>
      </c>
      <c r="O39">
        <v>-2.5709</v>
      </c>
      <c r="Q39">
        <v>5</v>
      </c>
      <c r="R39">
        <v>-5</v>
      </c>
      <c r="S39">
        <f>U45+U37+2*U39+2*U42+2*U44</f>
        <v>-0.504232000000001</v>
      </c>
      <c r="T39" t="s">
        <v>13</v>
      </c>
      <c r="U39">
        <v>-0.225191</v>
      </c>
      <c r="W39">
        <v>-0.225191</v>
      </c>
    </row>
    <row r="40" spans="4:23">
      <c r="D40" t="s">
        <v>38</v>
      </c>
      <c r="E40">
        <v>-0.00595908619673136</v>
      </c>
      <c r="I40">
        <v>6</v>
      </c>
      <c r="J40">
        <v>-5.85</v>
      </c>
      <c r="K40">
        <f>M45+2*M36+4*M41+M42+2*M44</f>
        <v>-23.6993</v>
      </c>
      <c r="L40" t="s">
        <v>14</v>
      </c>
      <c r="M40">
        <v>-2.4008</v>
      </c>
      <c r="O40">
        <v>-2.4008</v>
      </c>
      <c r="Q40">
        <v>6</v>
      </c>
      <c r="R40">
        <v>-5.85</v>
      </c>
      <c r="S40">
        <f>U45+2*U36+4*U41+U42+2*U44</f>
        <v>-0.262307</v>
      </c>
      <c r="T40" t="s">
        <v>14</v>
      </c>
      <c r="U40">
        <v>-0.0567920000000002</v>
      </c>
      <c r="W40">
        <v>-0.0567920000000002</v>
      </c>
    </row>
    <row r="41" spans="5:23">
      <c r="E41">
        <v>1.07584318325097</v>
      </c>
      <c r="I41">
        <v>7</v>
      </c>
      <c r="J41">
        <v>-4.95</v>
      </c>
      <c r="K41">
        <f>M46+2*M36+2*M38+2*M40+2*M41+M43</f>
        <v>-22.3322</v>
      </c>
      <c r="L41" t="s">
        <v>15</v>
      </c>
      <c r="M41">
        <v>-2.5898</v>
      </c>
      <c r="O41">
        <v>-2.5898</v>
      </c>
      <c r="Q41">
        <v>7</v>
      </c>
      <c r="R41">
        <v>-4.95</v>
      </c>
      <c r="S41">
        <f>U46+2*U36+2*U38+2*U40+2*U41+U43</f>
        <v>1.091122</v>
      </c>
      <c r="T41" t="s">
        <v>15</v>
      </c>
      <c r="U41">
        <v>-0.243902</v>
      </c>
      <c r="W41">
        <v>-0.243902</v>
      </c>
    </row>
    <row r="42" spans="4:23">
      <c r="D42" t="s">
        <v>39</v>
      </c>
      <c r="E42">
        <v>0.0117473572175459</v>
      </c>
      <c r="I42">
        <v>8</v>
      </c>
      <c r="J42">
        <v>-9.35</v>
      </c>
      <c r="K42">
        <f>M46+2*M38+2*M42+3*M43+2*M44</f>
        <v>-25.8476</v>
      </c>
      <c r="L42" t="s">
        <v>16</v>
      </c>
      <c r="M42">
        <v>-2.9867</v>
      </c>
      <c r="O42">
        <v>-2.9867</v>
      </c>
      <c r="Q42">
        <v>8</v>
      </c>
      <c r="R42">
        <v>-9.35</v>
      </c>
      <c r="S42">
        <f>U46+2*U38+2*U42+3*U43+2*U44</f>
        <v>-2.389124</v>
      </c>
      <c r="T42" t="s">
        <v>16</v>
      </c>
      <c r="U42">
        <v>-0.636833</v>
      </c>
      <c r="W42">
        <v>-0.636833</v>
      </c>
    </row>
    <row r="43" spans="5:23">
      <c r="E43">
        <v>1.03907577056824</v>
      </c>
      <c r="I43">
        <v>9</v>
      </c>
      <c r="J43">
        <v>-6.65</v>
      </c>
      <c r="K43">
        <f>M45+2*M36+2*M37+2*M38+2*M40+M43+2*M44</f>
        <v>-27.4362</v>
      </c>
      <c r="L43" t="s">
        <v>17</v>
      </c>
      <c r="M43">
        <v>-3.1064</v>
      </c>
      <c r="O43">
        <v>-3.1064</v>
      </c>
      <c r="Q43">
        <v>9</v>
      </c>
      <c r="R43">
        <v>-6.65</v>
      </c>
      <c r="S43">
        <f>U45+2*U36+2*U37+2*U38+2*U40+U43+2*U44</f>
        <v>0.678161999999999</v>
      </c>
      <c r="T43" t="s">
        <v>17</v>
      </c>
      <c r="U43">
        <v>-0.755336</v>
      </c>
      <c r="W43">
        <v>-0.755336</v>
      </c>
    </row>
    <row r="44" spans="4:23">
      <c r="D44" t="s">
        <v>40</v>
      </c>
      <c r="E44">
        <v>0.06825531051369</v>
      </c>
      <c r="I44">
        <v>10</v>
      </c>
      <c r="J44">
        <v>-4.5</v>
      </c>
      <c r="K44">
        <f>M46+M36+2*M38+2*M39+2*M40+2*M41</f>
        <v>-22.2377</v>
      </c>
      <c r="L44" t="s">
        <v>18</v>
      </c>
      <c r="M44">
        <v>-2.7851</v>
      </c>
      <c r="O44">
        <v>-2.7851</v>
      </c>
      <c r="Q44">
        <v>10</v>
      </c>
      <c r="R44">
        <v>-4.5</v>
      </c>
      <c r="S44">
        <f>U46+U36+2*U38+2*U39+2*U40+2*U41</f>
        <v>1.184677</v>
      </c>
      <c r="T44" t="s">
        <v>18</v>
      </c>
      <c r="U44">
        <v>-0.437249</v>
      </c>
      <c r="W44">
        <v>-0.437249</v>
      </c>
    </row>
    <row r="45" spans="5:23">
      <c r="E45">
        <v>1.01309772771196</v>
      </c>
      <c r="I45">
        <v>11</v>
      </c>
      <c r="J45">
        <v>-7</v>
      </c>
      <c r="K45">
        <f>M45+2*M35+M36+2*M41+2*M42+2*M43</f>
        <v>-24.6443</v>
      </c>
      <c r="L45" t="s">
        <v>19</v>
      </c>
      <c r="M45">
        <v>-0.5234</v>
      </c>
      <c r="O45">
        <v>-0.5234</v>
      </c>
      <c r="Q45">
        <v>11</v>
      </c>
      <c r="R45">
        <v>-7</v>
      </c>
      <c r="S45">
        <f>U45+2*U35+U36+2*U41+2*U42+2*U43</f>
        <v>-1.197857</v>
      </c>
      <c r="T45" t="s">
        <v>19</v>
      </c>
      <c r="U45">
        <v>1.801834</v>
      </c>
      <c r="W45">
        <v>1.801834</v>
      </c>
    </row>
    <row r="46" spans="4:23">
      <c r="D46" t="s">
        <v>41</v>
      </c>
      <c r="E46">
        <v>0.0378582758721624</v>
      </c>
      <c r="I46">
        <v>12</v>
      </c>
      <c r="J46">
        <v>-6.7</v>
      </c>
      <c r="K46">
        <f>M46+2*M36+M37+2*M40+2*M41+2*M42+2*M43</f>
        <v>-28.3812</v>
      </c>
      <c r="L46" t="s">
        <v>20</v>
      </c>
      <c r="M46">
        <v>0.0939999999999999</v>
      </c>
      <c r="O46">
        <v>0.0939999999999999</v>
      </c>
      <c r="Q46">
        <v>12</v>
      </c>
      <c r="R46">
        <v>-6.7</v>
      </c>
      <c r="S46">
        <f>U46+2*U36+U37+2*U40+2*U41+2*U42+2*U43</f>
        <v>-0.257388000000001</v>
      </c>
      <c r="T46" t="s">
        <v>20</v>
      </c>
      <c r="U46">
        <v>2.41306</v>
      </c>
      <c r="W46">
        <v>2.41306</v>
      </c>
    </row>
    <row r="47" spans="5:23">
      <c r="E47">
        <v>1.01226305199775</v>
      </c>
      <c r="I47">
        <v>13</v>
      </c>
      <c r="J47">
        <v>-9.1</v>
      </c>
      <c r="K47">
        <f>M45+4*M39+4*M41+3*M42</f>
        <v>-30.1263</v>
      </c>
      <c r="L47" t="s">
        <v>21</v>
      </c>
      <c r="M47">
        <v>-1.418</v>
      </c>
      <c r="O47">
        <v>-1.418</v>
      </c>
      <c r="Q47">
        <v>13</v>
      </c>
      <c r="R47">
        <v>-9.1</v>
      </c>
      <c r="S47">
        <f>U45+4*U39+4*U41+3*U42</f>
        <v>-1.985037</v>
      </c>
      <c r="T47" t="s">
        <v>21</v>
      </c>
      <c r="U47">
        <v>0.91618</v>
      </c>
      <c r="W47">
        <v>0.91618</v>
      </c>
    </row>
    <row r="48" spans="4:23">
      <c r="D48" t="s">
        <v>42</v>
      </c>
      <c r="E48">
        <v>0.00736347625590117</v>
      </c>
      <c r="I48">
        <v>14</v>
      </c>
      <c r="J48">
        <v>-12.2</v>
      </c>
      <c r="K48">
        <f>M45+2*M35+2*M38+2*M40+M42+4*M43+2*M44</f>
        <v>-36.0115</v>
      </c>
      <c r="L48" t="s">
        <v>22</v>
      </c>
      <c r="M48">
        <v>-1.418</v>
      </c>
      <c r="O48">
        <v>-1.418</v>
      </c>
      <c r="Q48">
        <v>14</v>
      </c>
      <c r="R48">
        <v>-12.2</v>
      </c>
      <c r="S48">
        <f>U45+2*U35+2*U38+2*U40+U42+4*U43+2*U44</f>
        <v>-3.171385</v>
      </c>
      <c r="T48" t="s">
        <v>22</v>
      </c>
      <c r="U48">
        <v>0.91618</v>
      </c>
      <c r="W48">
        <v>0.91618</v>
      </c>
    </row>
    <row r="49" spans="5:19">
      <c r="E49">
        <v>1.01141051794238</v>
      </c>
      <c r="I49">
        <v>15</v>
      </c>
      <c r="J49">
        <v>-11.5</v>
      </c>
      <c r="K49">
        <f>M45+2*M36+4*M41+4*M42+M43+2*M44</f>
        <v>-35.7658</v>
      </c>
      <c r="Q49">
        <v>15</v>
      </c>
      <c r="R49">
        <v>-11.5</v>
      </c>
      <c r="S49">
        <f>U45+2*U36+4*U41+4*U42+U43+2*U44</f>
        <v>-2.928142</v>
      </c>
    </row>
    <row r="50" spans="4:19">
      <c r="D50" t="s">
        <v>43</v>
      </c>
      <c r="E50">
        <v>0.00420589497857993</v>
      </c>
      <c r="I50">
        <v>16</v>
      </c>
      <c r="J50">
        <v>-7.2</v>
      </c>
      <c r="K50">
        <f>M45+4*M36+2*M37+4*M38+M43+2*M44</f>
        <v>-31.9732</v>
      </c>
      <c r="Q50">
        <v>16</v>
      </c>
      <c r="R50">
        <v>-7.2</v>
      </c>
      <c r="S50">
        <f>U45+4*U36+2*U37+4*U38+U43+2*U44</f>
        <v>0.826531999999999</v>
      </c>
    </row>
    <row r="51" spans="5:19">
      <c r="E51">
        <v>1.00889032252385</v>
      </c>
      <c r="I51">
        <v>17</v>
      </c>
      <c r="J51">
        <v>-8.2</v>
      </c>
      <c r="K51">
        <f>M45+2*M35+2*M36+2*M38+2*M40+4*M41+M42</f>
        <v>-32.6347</v>
      </c>
      <c r="Q51">
        <v>17</v>
      </c>
      <c r="R51">
        <v>-8.2</v>
      </c>
      <c r="S51">
        <f>U45+2*U35+2*U36+2*U38+2*U40+4*U41+U42</f>
        <v>0.171647</v>
      </c>
    </row>
    <row r="52" spans="4:19">
      <c r="D52" t="s">
        <v>44</v>
      </c>
      <c r="E52">
        <v>0.00504701851029488</v>
      </c>
      <c r="I52">
        <v>18</v>
      </c>
      <c r="J52">
        <v>-13.6</v>
      </c>
      <c r="K52">
        <f>M45+2*M37+4*M39+6*M42+3*M43</f>
        <v>-42.1424</v>
      </c>
      <c r="Q52">
        <v>18</v>
      </c>
      <c r="R52">
        <v>-13.6</v>
      </c>
      <c r="S52">
        <f>U45+2*U37+4*U39+6*U42+3*U43</f>
        <v>-4.600976</v>
      </c>
    </row>
    <row r="53" spans="5:19">
      <c r="E53">
        <v>1.00721918491562</v>
      </c>
      <c r="I53">
        <v>19</v>
      </c>
      <c r="J53">
        <v>-14.8</v>
      </c>
      <c r="K53">
        <f>M45+2*M35+2*M38+2*M40+3*M42+4*M43+2*M44</f>
        <v>-41.9849</v>
      </c>
      <c r="Q53">
        <v>19</v>
      </c>
      <c r="R53">
        <v>-14.8</v>
      </c>
      <c r="S53">
        <f>U45+2*U35+2*U38+2*U40+3*U42+4*U43+2*U44</f>
        <v>-4.445051</v>
      </c>
    </row>
    <row r="54" spans="4:5">
      <c r="D54" t="s">
        <v>45</v>
      </c>
      <c r="E54">
        <v>0.00838273147603097</v>
      </c>
    </row>
    <row r="55" spans="5:5">
      <c r="E55">
        <v>1.00058949039216</v>
      </c>
    </row>
    <row r="56" spans="4:5">
      <c r="D56" s="1" t="s">
        <v>46</v>
      </c>
      <c r="E56" s="1">
        <v>-0.000373595801926641</v>
      </c>
    </row>
    <row r="57" spans="4:5">
      <c r="D57" s="1"/>
      <c r="E57" s="1">
        <v>1.00058323265824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高橋俊太郎</dc:creator>
  <cp:lastModifiedBy>Tatsuya Ohyama</cp:lastModifiedBy>
  <dcterms:created xsi:type="dcterms:W3CDTF">2018-12-06T21:54:00Z</dcterms:created>
  <dcterms:modified xsi:type="dcterms:W3CDTF">2019-01-23T14:13:00Z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1041-10.1.0.6757</vt:lpwstr>
  </property>
</Properties>
</file>