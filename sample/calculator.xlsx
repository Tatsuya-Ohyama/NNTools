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50" windowHeight="12930" activeTab="1"/>
  </bookViews>
  <sheets>
    <sheet name="Ghosh" sheetId="1" r:id="rId1"/>
    <sheet name="SantaLucia" sheetId="3" r:id="rId2"/>
  </sheets>
  <calcPr calcId="144525"/>
</workbook>
</file>

<file path=xl/sharedStrings.xml><?xml version="1.0" encoding="utf-8"?>
<sst xmlns="http://schemas.openxmlformats.org/spreadsheetml/2006/main" count="183" uniqueCount="122">
  <si>
    <t>AA/TT</t>
  </si>
  <si>
    <t>AT/TA</t>
  </si>
  <si>
    <t>TA/AT</t>
  </si>
  <si>
    <t>CA/GT</t>
  </si>
  <si>
    <t>GT/CA</t>
  </si>
  <si>
    <t>CT/GA</t>
  </si>
  <si>
    <t>GA/CT</t>
  </si>
  <si>
    <t>CG/GC</t>
  </si>
  <si>
    <t>GC/CG</t>
  </si>
  <si>
    <t>GG/CC</t>
  </si>
  <si>
    <t>init_GC</t>
  </si>
  <si>
    <t>init_AT</t>
  </si>
  <si>
    <t>symmetry</t>
  </si>
  <si>
    <t>5term_TA</t>
  </si>
  <si>
    <t>ABS_MEAN</t>
  </si>
  <si>
    <t>ABS_SUM</t>
  </si>
  <si>
    <t>R</t>
  </si>
  <si>
    <t>R2</t>
  </si>
  <si>
    <t>Exp.</t>
  </si>
  <si>
    <t>Energy</t>
  </si>
  <si>
    <t>Diff abs</t>
  </si>
  <si>
    <t>Parameter</t>
  </si>
  <si>
    <t>1a</t>
  </si>
  <si>
    <t>CCGCGG</t>
  </si>
  <si>
    <t>1b</t>
  </si>
  <si>
    <t>CGGCCG</t>
  </si>
  <si>
    <t>2a</t>
  </si>
  <si>
    <t>GGACGTCC</t>
  </si>
  <si>
    <t>2b</t>
  </si>
  <si>
    <t>GACCGGTC</t>
  </si>
  <si>
    <t>3a</t>
  </si>
  <si>
    <t>CGTCGACG</t>
  </si>
  <si>
    <t>3b</t>
  </si>
  <si>
    <t>CGACGTCG</t>
  </si>
  <si>
    <t>CAAGCTTG</t>
  </si>
  <si>
    <t>CTTGCAAG</t>
  </si>
  <si>
    <t>5a</t>
  </si>
  <si>
    <t>CGGTACCG</t>
  </si>
  <si>
    <t>5b</t>
  </si>
  <si>
    <t>CCGTACGG</t>
  </si>
  <si>
    <t>6a</t>
  </si>
  <si>
    <t>GATCCGGATC</t>
  </si>
  <si>
    <t>6b</t>
  </si>
  <si>
    <t>GGATCGATCC</t>
  </si>
  <si>
    <t>7a</t>
  </si>
  <si>
    <t>ATGAGCTCAT</t>
  </si>
  <si>
    <t>7b</t>
  </si>
  <si>
    <t>ATCAGCTGAT</t>
  </si>
  <si>
    <t>8a</t>
  </si>
  <si>
    <t>TGCCGCGGCA</t>
  </si>
  <si>
    <t>8b</t>
  </si>
  <si>
    <t>TGGCGCGCCA</t>
  </si>
  <si>
    <t>9a</t>
  </si>
  <si>
    <t>CATAGGCCTATG</t>
  </si>
  <si>
    <t>9b</t>
  </si>
  <si>
    <t>CTATGGCCATAG</t>
  </si>
  <si>
    <t>AGTCATGACT</t>
  </si>
  <si>
    <t>GCGAATTCGC</t>
  </si>
  <si>
    <t>ATCGCTAGCGAT</t>
  </si>
  <si>
    <t>GACGACGTCGTC</t>
  </si>
  <si>
    <t>GCAAGCCGGCTTGC</t>
  </si>
  <si>
    <t>CGATCGGCCGATCG</t>
  </si>
  <si>
    <t>CATATGGCCATATG</t>
  </si>
  <si>
    <t>CAAGATCGATCTTG</t>
  </si>
  <si>
    <t>CGCGTACGCGTACGCG</t>
  </si>
  <si>
    <t>CGCAAGCCGGCTTGCG</t>
  </si>
  <si>
    <t>SantaLucia</t>
  </si>
  <si>
    <t>MyParameter</t>
  </si>
  <si>
    <t>Diff</t>
  </si>
  <si>
    <t>Diff Sq</t>
  </si>
  <si>
    <t>Exp. raw</t>
  </si>
  <si>
    <t>Diff sq</t>
  </si>
  <si>
    <t>CCGG</t>
  </si>
  <si>
    <t>CGCG</t>
  </si>
  <si>
    <t>GCGC</t>
  </si>
  <si>
    <t>CGCGCG</t>
  </si>
  <si>
    <t>CGTACG</t>
  </si>
  <si>
    <t>GACGTC</t>
  </si>
  <si>
    <t>GCATGC</t>
  </si>
  <si>
    <t>GCCGGC</t>
  </si>
  <si>
    <t>GCGAGC</t>
  </si>
  <si>
    <t>GCGCGC</t>
  </si>
  <si>
    <t>GCTAGC</t>
  </si>
  <si>
    <t>GGATCC</t>
  </si>
  <si>
    <t>GGCGCC</t>
  </si>
  <si>
    <t>GGGACC</t>
  </si>
  <si>
    <t>GTGAAC</t>
  </si>
  <si>
    <t>CAAAAAG</t>
  </si>
  <si>
    <t>CAAAAAAG</t>
  </si>
  <si>
    <t>CATCGATG</t>
  </si>
  <si>
    <t>CGATATCG</t>
  </si>
  <si>
    <t>GAAGCTTC</t>
  </si>
  <si>
    <t>GATCGATC</t>
  </si>
  <si>
    <t>GATGCATC</t>
  </si>
  <si>
    <t>GGAATTCC</t>
  </si>
  <si>
    <t>GGAGCTCC</t>
  </si>
  <si>
    <t>GGTATACC</t>
  </si>
  <si>
    <t>GTACGTAC</t>
  </si>
  <si>
    <t>GTAGCTAC</t>
  </si>
  <si>
    <t>GTTGCAAC</t>
  </si>
  <si>
    <t>CAAAAAAAG</t>
  </si>
  <si>
    <t>CAAACAAAG</t>
  </si>
  <si>
    <t>CAAATAAAG</t>
  </si>
  <si>
    <t>CAAAGAAAG</t>
  </si>
  <si>
    <t>CCATCGCTACC</t>
  </si>
  <si>
    <t>GCGAAAGCG</t>
  </si>
  <si>
    <t>CCATTGCTACC</t>
  </si>
  <si>
    <t>CTGACAAGTGTC</t>
  </si>
  <si>
    <t>TCATGA</t>
  </si>
  <si>
    <t>TGATCA</t>
  </si>
  <si>
    <t>AAAAAAAA</t>
  </si>
  <si>
    <t>TAGATCTA</t>
  </si>
  <si>
    <t>TCTATAGA</t>
  </si>
  <si>
    <t>TTTTATAATAAA</t>
  </si>
  <si>
    <t>CAACTTGATATTATTA</t>
  </si>
  <si>
    <t>CCCGGG</t>
  </si>
  <si>
    <t>CCCAGGG</t>
  </si>
  <si>
    <t>CGCGAATTCGCG</t>
  </si>
  <si>
    <t>CGCATGGGTACGC</t>
  </si>
  <si>
    <t>GTATACCGGTATAC</t>
  </si>
  <si>
    <t>CATATTGGCCAATATG</t>
  </si>
  <si>
    <t>GTATAACCGGTTATAC</t>
  </si>
</sst>
</file>

<file path=xl/styles.xml><?xml version="1.0" encoding="utf-8"?>
<styleSheet xmlns="http://schemas.openxmlformats.org/spreadsheetml/2006/main">
  <numFmts count="5">
    <numFmt numFmtId="176" formatCode="_ * #,##0_ ;_ * \-#,##0_ ;_ * &quot;-&quot;??_ ;_ @_ "/>
    <numFmt numFmtId="43" formatCode="_ * #,##0.00_ ;_ * \-#,##0.00_ ;_ * &quot;-&quot;??_ ;_ @_ "/>
    <numFmt numFmtId="177" formatCode="_-&quot;\&quot;* #,##0_-\ ;\-&quot;\&quot;* #,##0_-\ ;_-&quot;\&quot;* &quot;-&quot;??_-\ ;_-@_-"/>
    <numFmt numFmtId="178" formatCode="0.00_ "/>
    <numFmt numFmtId="179" formatCode="_-&quot;\&quot;* #,##0.00_-\ ;\-&quot;\&quot;* #,##0.00_-\ ;_-&quot;\&quot;* &quot;-&quot;??_-\ ;_-@_-"/>
  </numFmts>
  <fonts count="21">
    <font>
      <sz val="11"/>
      <color theme="1"/>
      <name val="游ゴシック"/>
      <charset val="134"/>
    </font>
    <font>
      <sz val="11"/>
      <color rgb="FFFF0000"/>
      <name val="游ゴシック"/>
      <charset val="134"/>
    </font>
    <font>
      <sz val="11"/>
      <color rgb="FF9C000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27" borderId="0" applyNumberFormat="0" applyBorder="0" applyAlignment="0" applyProtection="0">
      <alignment vertical="center"/>
    </xf>
    <xf numFmtId="0" fontId="19" fillId="31" borderId="1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28" borderId="6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1" fillId="0" borderId="0" xfId="0" applyFont="1">
      <alignment vertical="center"/>
    </xf>
  </cellXfs>
  <cellStyles count="49">
    <cellStyle name="標準" xfId="0" builtinId="0"/>
    <cellStyle name="40% - アクセント 6" xfId="1" builtinId="51"/>
    <cellStyle name="入力" xfId="2" builtinId="20"/>
    <cellStyle name="アクセント 5" xfId="3" builtinId="45"/>
    <cellStyle name="40% - アクセント 4" xfId="4" builtinId="43"/>
    <cellStyle name="20% - アクセント 4" xfId="5" builtinId="42"/>
    <cellStyle name="アクセント 4" xfId="6" builtinId="41"/>
    <cellStyle name="40% - アクセント 3" xfId="7" builtinId="39"/>
    <cellStyle name="タイトル" xfId="8" builtinId="15"/>
    <cellStyle name="20% - アクセント 3" xfId="9" builtinId="38"/>
    <cellStyle name="60% - アクセント 2" xfId="10" builtinId="36"/>
    <cellStyle name="20% - アクセント 2" xfId="11" builtinId="34"/>
    <cellStyle name="60% - アクセント 1" xfId="12" builtinId="32"/>
    <cellStyle name="アクセント 1" xfId="13" builtinId="29"/>
    <cellStyle name="60% - アクセント 4" xfId="14" builtinId="44"/>
    <cellStyle name="どちらでもない" xfId="15" builtinId="28"/>
    <cellStyle name="見出し 3" xfId="16" builtinId="18"/>
    <cellStyle name="40% - アクセント 1" xfId="17" builtinId="31"/>
    <cellStyle name="パーセント" xfId="18" builtinId="5"/>
    <cellStyle name="集計" xfId="19" builtinId="25"/>
    <cellStyle name="60% - アクセント 5" xfId="20" builtinId="48"/>
    <cellStyle name="20% - アクセント 6" xfId="21" builtinId="50"/>
    <cellStyle name="良い" xfId="22" builtinId="26"/>
    <cellStyle name="見出し 2" xfId="23" builtinId="17"/>
    <cellStyle name="リンクセル" xfId="24" builtinId="24"/>
    <cellStyle name="20% - アクセント 5" xfId="25" builtinId="46"/>
    <cellStyle name="桁区切り[0]" xfId="26" builtinId="6"/>
    <cellStyle name="見出し 1" xfId="27" builtinId="16"/>
    <cellStyle name="説明文" xfId="28" builtinId="53"/>
    <cellStyle name="通貨" xfId="29" builtinId="4"/>
    <cellStyle name="出力" xfId="30" builtinId="21"/>
    <cellStyle name="アクセント 2" xfId="31" builtinId="33"/>
    <cellStyle name="訪問済ハイパーリンク" xfId="32" builtinId="9"/>
    <cellStyle name="見出し 4" xfId="33" builtinId="19"/>
    <cellStyle name="メモ" xfId="34" builtinId="10"/>
    <cellStyle name="40% - アクセント 5" xfId="35" builtinId="47"/>
    <cellStyle name="計算" xfId="36" builtinId="22"/>
    <cellStyle name="アクセント 6" xfId="37" builtinId="49"/>
    <cellStyle name="ハイパーリンク" xfId="38" builtinId="8"/>
    <cellStyle name="60% - アクセント 3" xfId="39" builtinId="40"/>
    <cellStyle name="アクセント 3" xfId="40" builtinId="37"/>
    <cellStyle name="40% - アクセント 2" xfId="41" builtinId="35"/>
    <cellStyle name="20% - アクセント 1" xfId="42" builtinId="30"/>
    <cellStyle name="チェックセル" xfId="43" builtinId="23"/>
    <cellStyle name="通貨[0]" xfId="44" builtinId="7"/>
    <cellStyle name="桁区切り" xfId="45" builtinId="3"/>
    <cellStyle name="60% - アクセント 6" xfId="46" builtinId="52"/>
    <cellStyle name="悪い" xfId="47" builtinId="27"/>
    <cellStyle name="警告文" xfId="48" builtinId="1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625"/>
                  <c:y val="0.052083333333333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ja-JP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SantaLucia!$C$25:$C$84</c:f>
              <c:numCache>
                <c:formatCode>General</c:formatCode>
                <c:ptCount val="60"/>
                <c:pt idx="0">
                  <c:v>-3.5</c:v>
                </c:pt>
                <c:pt idx="1">
                  <c:v>-4</c:v>
                </c:pt>
                <c:pt idx="2">
                  <c:v>-4.4</c:v>
                </c:pt>
                <c:pt idx="3">
                  <c:v>-8</c:v>
                </c:pt>
                <c:pt idx="4">
                  <c:v>-5.3</c:v>
                </c:pt>
                <c:pt idx="5">
                  <c:v>-8.3</c:v>
                </c:pt>
                <c:pt idx="6">
                  <c:v>-8.3</c:v>
                </c:pt>
                <c:pt idx="7">
                  <c:v>-5.4</c:v>
                </c:pt>
                <c:pt idx="8">
                  <c:v>-5.6</c:v>
                </c:pt>
                <c:pt idx="9">
                  <c:v>-5.6</c:v>
                </c:pt>
                <c:pt idx="10">
                  <c:v>-8.5</c:v>
                </c:pt>
                <c:pt idx="11">
                  <c:v>-7.7</c:v>
                </c:pt>
                <c:pt idx="12">
                  <c:v>-9.1</c:v>
                </c:pt>
                <c:pt idx="13">
                  <c:v>-5.3</c:v>
                </c:pt>
                <c:pt idx="14">
                  <c:v>-5</c:v>
                </c:pt>
                <c:pt idx="15">
                  <c:v>-7.9</c:v>
                </c:pt>
                <c:pt idx="16">
                  <c:v>-6.5</c:v>
                </c:pt>
                <c:pt idx="17">
                  <c:v>-5.1</c:v>
                </c:pt>
                <c:pt idx="18">
                  <c:v>-4.8</c:v>
                </c:pt>
                <c:pt idx="19">
                  <c:v>-5.7</c:v>
                </c:pt>
                <c:pt idx="20">
                  <c:v>-7</c:v>
                </c:pt>
                <c:pt idx="21">
                  <c:v>-7.6</c:v>
                </c:pt>
                <c:pt idx="22">
                  <c:v>-6.9</c:v>
                </c:pt>
                <c:pt idx="23">
                  <c:v>-9.8</c:v>
                </c:pt>
                <c:pt idx="24">
                  <c:v>-7</c:v>
                </c:pt>
                <c:pt idx="25">
                  <c:v>-7.6</c:v>
                </c:pt>
                <c:pt idx="26">
                  <c:v>-7.3</c:v>
                </c:pt>
                <c:pt idx="27">
                  <c:v>-6.8</c:v>
                </c:pt>
                <c:pt idx="28">
                  <c:v>-9</c:v>
                </c:pt>
                <c:pt idx="29">
                  <c:v>-8.7</c:v>
                </c:pt>
                <c:pt idx="30">
                  <c:v>-5.5</c:v>
                </c:pt>
                <c:pt idx="31">
                  <c:v>-7.1</c:v>
                </c:pt>
                <c:pt idx="32">
                  <c:v>-7</c:v>
                </c:pt>
                <c:pt idx="33">
                  <c:v>-7.5</c:v>
                </c:pt>
                <c:pt idx="34">
                  <c:v>-7.2</c:v>
                </c:pt>
                <c:pt idx="35">
                  <c:v>-7.7</c:v>
                </c:pt>
                <c:pt idx="36">
                  <c:v>-6.5</c:v>
                </c:pt>
                <c:pt idx="37">
                  <c:v>-7.3</c:v>
                </c:pt>
                <c:pt idx="38">
                  <c:v>-12.9</c:v>
                </c:pt>
                <c:pt idx="39">
                  <c:v>-13.3</c:v>
                </c:pt>
                <c:pt idx="40">
                  <c:v>-11.9</c:v>
                </c:pt>
                <c:pt idx="41">
                  <c:v>-12.2</c:v>
                </c:pt>
                <c:pt idx="42">
                  <c:v>-12.6</c:v>
                </c:pt>
                <c:pt idx="43">
                  <c:v>-12.7</c:v>
                </c:pt>
                <c:pt idx="44">
                  <c:v>-3.3</c:v>
                </c:pt>
                <c:pt idx="45">
                  <c:v>-2.8</c:v>
                </c:pt>
                <c:pt idx="46">
                  <c:v>-4.5</c:v>
                </c:pt>
                <c:pt idx="47">
                  <c:v>-5.1</c:v>
                </c:pt>
                <c:pt idx="48">
                  <c:v>-4.3</c:v>
                </c:pt>
                <c:pt idx="49">
                  <c:v>-10</c:v>
                </c:pt>
                <c:pt idx="50">
                  <c:v>-5.5</c:v>
                </c:pt>
                <c:pt idx="51">
                  <c:v>-12.4</c:v>
                </c:pt>
                <c:pt idx="52">
                  <c:v>-6.9</c:v>
                </c:pt>
                <c:pt idx="53">
                  <c:v>-7.9</c:v>
                </c:pt>
                <c:pt idx="54">
                  <c:v>-20.6</c:v>
                </c:pt>
                <c:pt idx="55">
                  <c:v>-14.4</c:v>
                </c:pt>
                <c:pt idx="56">
                  <c:v>-12.3</c:v>
                </c:pt>
                <c:pt idx="57">
                  <c:v>-13.2</c:v>
                </c:pt>
                <c:pt idx="58">
                  <c:v>-14.3</c:v>
                </c:pt>
                <c:pt idx="59">
                  <c:v>-29.1</c:v>
                </c:pt>
              </c:numCache>
            </c:numRef>
          </c:xVal>
          <c:yVal>
            <c:numRef>
              <c:f>SantaLucia!$D$25:$D$84</c:f>
              <c:numCache>
                <c:formatCode>General</c:formatCode>
                <c:ptCount val="60"/>
                <c:pt idx="0">
                  <c:v>-23.5</c:v>
                </c:pt>
                <c:pt idx="1">
                  <c:v>-31.3</c:v>
                </c:pt>
                <c:pt idx="2">
                  <c:v>-32.3</c:v>
                </c:pt>
                <c:pt idx="3">
                  <c:v>-44.7</c:v>
                </c:pt>
                <c:pt idx="4">
                  <c:v>-108.7</c:v>
                </c:pt>
                <c:pt idx="5">
                  <c:v>-52.5</c:v>
                </c:pt>
                <c:pt idx="6">
                  <c:v>-44.7</c:v>
                </c:pt>
                <c:pt idx="7">
                  <c:v>-43.7</c:v>
                </c:pt>
                <c:pt idx="8">
                  <c:v>-42.7</c:v>
                </c:pt>
                <c:pt idx="9">
                  <c:v>-43.5</c:v>
                </c:pt>
                <c:pt idx="10">
                  <c:v>-45.7</c:v>
                </c:pt>
                <c:pt idx="11">
                  <c:v>-46.1</c:v>
                </c:pt>
                <c:pt idx="12">
                  <c:v>-53.5</c:v>
                </c:pt>
                <c:pt idx="13">
                  <c:v>-40.7</c:v>
                </c:pt>
                <c:pt idx="14">
                  <c:v>-35.3</c:v>
                </c:pt>
                <c:pt idx="15">
                  <c:v>-45.7</c:v>
                </c:pt>
                <c:pt idx="16">
                  <c:v>-36.4</c:v>
                </c:pt>
                <c:pt idx="17">
                  <c:v>-40.7</c:v>
                </c:pt>
                <c:pt idx="18">
                  <c:v>-47.1</c:v>
                </c:pt>
                <c:pt idx="19">
                  <c:v>-55.5</c:v>
                </c:pt>
                <c:pt idx="20">
                  <c:v>-54.9</c:v>
                </c:pt>
                <c:pt idx="21">
                  <c:v>-53.3</c:v>
                </c:pt>
                <c:pt idx="22">
                  <c:v>-54.9</c:v>
                </c:pt>
                <c:pt idx="23">
                  <c:v>-62.9</c:v>
                </c:pt>
                <c:pt idx="24">
                  <c:v>-55.5</c:v>
                </c:pt>
                <c:pt idx="25">
                  <c:v>-53.9</c:v>
                </c:pt>
                <c:pt idx="26">
                  <c:v>-54.3</c:v>
                </c:pt>
                <c:pt idx="27">
                  <c:v>-52.1</c:v>
                </c:pt>
                <c:pt idx="28">
                  <c:v>-56.1</c:v>
                </c:pt>
                <c:pt idx="29">
                  <c:v>-52.1</c:v>
                </c:pt>
                <c:pt idx="30">
                  <c:v>-49.7</c:v>
                </c:pt>
                <c:pt idx="31">
                  <c:v>-57.1</c:v>
                </c:pt>
                <c:pt idx="32">
                  <c:v>-53.1</c:v>
                </c:pt>
                <c:pt idx="33">
                  <c:v>-59.9</c:v>
                </c:pt>
                <c:pt idx="34">
                  <c:v>-63.9</c:v>
                </c:pt>
                <c:pt idx="35">
                  <c:v>-63.1</c:v>
                </c:pt>
                <c:pt idx="36">
                  <c:v>-59.9</c:v>
                </c:pt>
                <c:pt idx="37">
                  <c:v>-60.9</c:v>
                </c:pt>
                <c:pt idx="38">
                  <c:v>-81.1</c:v>
                </c:pt>
                <c:pt idx="39">
                  <c:v>-77.2</c:v>
                </c:pt>
                <c:pt idx="40">
                  <c:v>-73</c:v>
                </c:pt>
                <c:pt idx="41">
                  <c:v>-75.2</c:v>
                </c:pt>
                <c:pt idx="42">
                  <c:v>-84</c:v>
                </c:pt>
                <c:pt idx="43">
                  <c:v>-92.7</c:v>
                </c:pt>
                <c:pt idx="44">
                  <c:v>-36.3</c:v>
                </c:pt>
                <c:pt idx="45">
                  <c:v>-36.3</c:v>
                </c:pt>
                <c:pt idx="46">
                  <c:v>-58.8</c:v>
                </c:pt>
                <c:pt idx="47">
                  <c:v>-46.3</c:v>
                </c:pt>
                <c:pt idx="48">
                  <c:v>-46.3</c:v>
                </c:pt>
                <c:pt idx="49">
                  <c:v>-66.5</c:v>
                </c:pt>
                <c:pt idx="50">
                  <c:v>-81.9</c:v>
                </c:pt>
                <c:pt idx="51">
                  <c:v>-109.2</c:v>
                </c:pt>
                <c:pt idx="52">
                  <c:v>-36.9</c:v>
                </c:pt>
                <c:pt idx="53">
                  <c:v>-40.3</c:v>
                </c:pt>
                <c:pt idx="54">
                  <c:v>-101.3</c:v>
                </c:pt>
                <c:pt idx="55">
                  <c:v>-100.6</c:v>
                </c:pt>
                <c:pt idx="56">
                  <c:v>-96.1</c:v>
                </c:pt>
                <c:pt idx="57">
                  <c:v>-109.5</c:v>
                </c:pt>
                <c:pt idx="58">
                  <c:v>-112.9</c:v>
                </c:pt>
                <c:pt idx="59">
                  <c:v>-140.9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224931"/>
        <c:axId val="736841975"/>
      </c:scatterChart>
      <c:valAx>
        <c:axId val="7212249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6841975"/>
        <c:crosses val="autoZero"/>
        <c:crossBetween val="midCat"/>
      </c:valAx>
      <c:valAx>
        <c:axId val="736841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2249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387350</xdr:colOff>
      <xdr:row>3</xdr:row>
      <xdr:rowOff>57150</xdr:rowOff>
    </xdr:from>
    <xdr:to>
      <xdr:col>17</xdr:col>
      <xdr:colOff>158750</xdr:colOff>
      <xdr:row>15</xdr:row>
      <xdr:rowOff>57150</xdr:rowOff>
    </xdr:to>
    <xdr:graphicFrame>
      <xdr:nvGraphicFramePr>
        <xdr:cNvPr id="2" name="グラフ 1"/>
        <xdr:cNvGraphicFramePr/>
      </xdr:nvGraphicFramePr>
      <xdr:xfrm>
        <a:off x="8188325" y="7429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31363D"/>
      </a:dk1>
      <a:lt1>
        <a:sysClr val="window" lastClr="F8F8F8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50"/>
  <sheetViews>
    <sheetView workbookViewId="0">
      <selection activeCell="C2" sqref="C2"/>
    </sheetView>
  </sheetViews>
  <sheetFormatPr defaultColWidth="9" defaultRowHeight="18"/>
  <cols>
    <col min="3" max="4" width="12.625"/>
  </cols>
  <sheetData>
    <row r="2" spans="2:3">
      <c r="B2" t="s">
        <v>0</v>
      </c>
      <c r="C2">
        <v>0</v>
      </c>
    </row>
    <row r="3" spans="2:3">
      <c r="B3" t="s">
        <v>1</v>
      </c>
      <c r="C3">
        <v>0</v>
      </c>
    </row>
    <row r="4" spans="2:3">
      <c r="B4" t="s">
        <v>2</v>
      </c>
      <c r="C4">
        <v>0</v>
      </c>
    </row>
    <row r="5" spans="2:3">
      <c r="B5" t="s">
        <v>3</v>
      </c>
      <c r="C5">
        <v>0</v>
      </c>
    </row>
    <row r="6" spans="2:3">
      <c r="B6" t="s">
        <v>4</v>
      </c>
      <c r="C6">
        <v>0</v>
      </c>
    </row>
    <row r="7" spans="2:3">
      <c r="B7" t="s">
        <v>5</v>
      </c>
      <c r="C7">
        <v>0</v>
      </c>
    </row>
    <row r="8" spans="2:3">
      <c r="B8" t="s">
        <v>6</v>
      </c>
      <c r="C8">
        <v>0</v>
      </c>
    </row>
    <row r="9" spans="2:3">
      <c r="B9" t="s">
        <v>7</v>
      </c>
      <c r="C9">
        <v>0</v>
      </c>
    </row>
    <row r="10" spans="2:3">
      <c r="B10" t="s">
        <v>8</v>
      </c>
      <c r="C10">
        <v>0</v>
      </c>
    </row>
    <row r="11" spans="2:3">
      <c r="B11" t="s">
        <v>9</v>
      </c>
      <c r="C11">
        <v>0</v>
      </c>
    </row>
    <row r="12" spans="2:3">
      <c r="B12" t="s">
        <v>10</v>
      </c>
      <c r="C12">
        <v>0</v>
      </c>
    </row>
    <row r="13" spans="2:3">
      <c r="B13" t="s">
        <v>11</v>
      </c>
      <c r="C13">
        <v>0</v>
      </c>
    </row>
    <row r="14" spans="2:3">
      <c r="B14" t="s">
        <v>12</v>
      </c>
      <c r="C14">
        <v>0</v>
      </c>
    </row>
    <row r="15" spans="2:3">
      <c r="B15" t="s">
        <v>13</v>
      </c>
      <c r="C15">
        <v>0</v>
      </c>
    </row>
    <row r="17" spans="3:4">
      <c r="C17" t="s">
        <v>14</v>
      </c>
      <c r="D17">
        <f>AVERAGE(U23:U50)</f>
        <v>7.15357142857143</v>
      </c>
    </row>
    <row r="18" spans="3:4">
      <c r="C18" t="s">
        <v>15</v>
      </c>
      <c r="D18">
        <f>SUM(U23:U50)</f>
        <v>200.3</v>
      </c>
    </row>
    <row r="19" spans="3:4">
      <c r="C19" t="s">
        <v>16</v>
      </c>
      <c r="D19" t="e">
        <f>CORREL(C23:C50,D23:D50)</f>
        <v>#DIV/0!</v>
      </c>
    </row>
    <row r="20" spans="3:4">
      <c r="C20" t="s">
        <v>17</v>
      </c>
      <c r="D20" t="e">
        <f>RSQ(C23:C50,D23:D50)</f>
        <v>#DIV/0!</v>
      </c>
    </row>
    <row r="21" spans="3:21">
      <c r="C21" t="s">
        <v>18</v>
      </c>
      <c r="D21" t="s">
        <v>19</v>
      </c>
      <c r="E21" t="s">
        <v>0</v>
      </c>
      <c r="F21" t="s">
        <v>1</v>
      </c>
      <c r="G21" t="s">
        <v>2</v>
      </c>
      <c r="H21" t="s">
        <v>3</v>
      </c>
      <c r="I21" t="s">
        <v>4</v>
      </c>
      <c r="J21" t="s">
        <v>5</v>
      </c>
      <c r="K21" t="s">
        <v>6</v>
      </c>
      <c r="L21" t="s">
        <v>7</v>
      </c>
      <c r="M21" t="s">
        <v>8</v>
      </c>
      <c r="N21" t="s">
        <v>9</v>
      </c>
      <c r="O21" t="s">
        <v>10</v>
      </c>
      <c r="P21" t="s">
        <v>11</v>
      </c>
      <c r="Q21" t="s">
        <v>12</v>
      </c>
      <c r="R21" t="s">
        <v>13</v>
      </c>
      <c r="U21" t="s">
        <v>20</v>
      </c>
    </row>
    <row r="22" spans="1:18">
      <c r="A22" s="3"/>
      <c r="B22" s="3" t="s">
        <v>21</v>
      </c>
      <c r="C22" s="3"/>
      <c r="D22" s="3"/>
      <c r="E22" s="3">
        <f>C2</f>
        <v>0</v>
      </c>
      <c r="F22" s="3">
        <f>C3</f>
        <v>0</v>
      </c>
      <c r="G22" s="3">
        <f>C4</f>
        <v>0</v>
      </c>
      <c r="H22" s="3">
        <f>C5</f>
        <v>0</v>
      </c>
      <c r="I22" s="3">
        <f>C6</f>
        <v>0</v>
      </c>
      <c r="J22" s="3">
        <f>C7</f>
        <v>0</v>
      </c>
      <c r="K22" s="3">
        <f>C8</f>
        <v>0</v>
      </c>
      <c r="L22" s="3">
        <f>C9</f>
        <v>0</v>
      </c>
      <c r="M22" s="3">
        <f>C10</f>
        <v>0</v>
      </c>
      <c r="N22" s="3">
        <f>C11</f>
        <v>0</v>
      </c>
      <c r="O22" s="3">
        <f>C12</f>
        <v>0</v>
      </c>
      <c r="P22" s="3">
        <f>C13</f>
        <v>0</v>
      </c>
      <c r="Q22" s="3">
        <f>C14</f>
        <v>0</v>
      </c>
      <c r="R22" s="3">
        <f>C15</f>
        <v>0</v>
      </c>
    </row>
    <row r="23" spans="1:21">
      <c r="A23" t="s">
        <v>22</v>
      </c>
      <c r="B23" t="s">
        <v>23</v>
      </c>
      <c r="C23">
        <v>-5.7</v>
      </c>
      <c r="D23">
        <f>E$22*E23+F$22*F23+G$22*G23+H$22*H23+I$22*I23+J$22*J23+K$22*K23+L$22*L23+M$22*M23+N$22*N23+O$22*O23+P$22*P23+Q$22*Q23+R$22*R23</f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</v>
      </c>
      <c r="M23">
        <v>1</v>
      </c>
      <c r="N23">
        <v>2</v>
      </c>
      <c r="O23">
        <v>1</v>
      </c>
      <c r="P23">
        <v>0</v>
      </c>
      <c r="Q23">
        <v>0</v>
      </c>
      <c r="R23">
        <v>0</v>
      </c>
      <c r="U23">
        <f>ABS(C23-D23)</f>
        <v>5.7</v>
      </c>
    </row>
    <row r="24" spans="1:21">
      <c r="A24" t="s">
        <v>24</v>
      </c>
      <c r="B24" t="s">
        <v>25</v>
      </c>
      <c r="C24">
        <v>-5.7</v>
      </c>
      <c r="D24">
        <f t="shared" ref="D24:D50" si="0">E$22*E24+F$22*F24+G$22*G24+H$22*H24+I$22*I24+J$22*J24+K$22*K24+L$22*L24+M$22*M24+N$22*N24+O$22*O24+P$22*P24+Q$22*Q24+R$22*R24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</v>
      </c>
      <c r="M24">
        <v>1</v>
      </c>
      <c r="N24">
        <v>2</v>
      </c>
      <c r="O24">
        <v>1</v>
      </c>
      <c r="P24">
        <v>0</v>
      </c>
      <c r="Q24">
        <v>0</v>
      </c>
      <c r="R24">
        <v>0</v>
      </c>
      <c r="U24">
        <f t="shared" ref="U24:U50" si="1">ABS(C24-D24)</f>
        <v>5.7</v>
      </c>
    </row>
    <row r="25" spans="1:21">
      <c r="A25" t="s">
        <v>26</v>
      </c>
      <c r="B25" t="s">
        <v>27</v>
      </c>
      <c r="C25">
        <v>-5.3</v>
      </c>
      <c r="D25">
        <f t="shared" si="0"/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0</v>
      </c>
      <c r="K25">
        <v>2</v>
      </c>
      <c r="L25">
        <v>1</v>
      </c>
      <c r="M25">
        <v>0</v>
      </c>
      <c r="N25">
        <v>2</v>
      </c>
      <c r="O25">
        <v>1</v>
      </c>
      <c r="P25">
        <v>0</v>
      </c>
      <c r="Q25">
        <v>0</v>
      </c>
      <c r="R25">
        <v>0</v>
      </c>
      <c r="U25">
        <f t="shared" si="1"/>
        <v>5.3</v>
      </c>
    </row>
    <row r="26" spans="1:21">
      <c r="A26" t="s">
        <v>28</v>
      </c>
      <c r="B26" t="s">
        <v>29</v>
      </c>
      <c r="C26">
        <v>-5.4</v>
      </c>
      <c r="D26">
        <f t="shared" si="0"/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  <c r="K26">
        <v>2</v>
      </c>
      <c r="L26">
        <v>1</v>
      </c>
      <c r="M26">
        <v>0</v>
      </c>
      <c r="N26">
        <v>2</v>
      </c>
      <c r="O26">
        <v>1</v>
      </c>
      <c r="P26">
        <v>0</v>
      </c>
      <c r="Q26">
        <v>0</v>
      </c>
      <c r="R26">
        <v>0</v>
      </c>
      <c r="U26">
        <f t="shared" si="1"/>
        <v>5.4</v>
      </c>
    </row>
    <row r="27" spans="1:21">
      <c r="A27" t="s">
        <v>30</v>
      </c>
      <c r="B27" t="s">
        <v>31</v>
      </c>
      <c r="C27">
        <v>-6.1</v>
      </c>
      <c r="D27">
        <f t="shared" si="0"/>
        <v>0</v>
      </c>
      <c r="E27">
        <v>0</v>
      </c>
      <c r="F27">
        <v>0</v>
      </c>
      <c r="G27">
        <v>0</v>
      </c>
      <c r="H27">
        <v>0</v>
      </c>
      <c r="I27">
        <v>2</v>
      </c>
      <c r="J27">
        <v>0</v>
      </c>
      <c r="K27">
        <v>2</v>
      </c>
      <c r="L27">
        <v>3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U27">
        <f t="shared" si="1"/>
        <v>6.1</v>
      </c>
    </row>
    <row r="28" spans="1:21">
      <c r="A28" t="s">
        <v>32</v>
      </c>
      <c r="B28" t="s">
        <v>33</v>
      </c>
      <c r="C28">
        <v>-6.2</v>
      </c>
      <c r="D28">
        <f t="shared" si="0"/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  <c r="K28">
        <v>2</v>
      </c>
      <c r="L28">
        <v>3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U28">
        <f t="shared" si="1"/>
        <v>6.2</v>
      </c>
    </row>
    <row r="29" spans="1:21">
      <c r="A29" t="s">
        <v>30</v>
      </c>
      <c r="B29" t="s">
        <v>34</v>
      </c>
      <c r="C29">
        <v>-3.6</v>
      </c>
      <c r="D29">
        <f t="shared" si="0"/>
        <v>0</v>
      </c>
      <c r="E29">
        <v>2</v>
      </c>
      <c r="F29">
        <v>0</v>
      </c>
      <c r="G29">
        <v>0</v>
      </c>
      <c r="H29">
        <v>2</v>
      </c>
      <c r="I29">
        <v>0</v>
      </c>
      <c r="J29">
        <v>2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U29">
        <f t="shared" si="1"/>
        <v>3.6</v>
      </c>
    </row>
    <row r="30" spans="1:21">
      <c r="A30" t="s">
        <v>32</v>
      </c>
      <c r="B30" t="s">
        <v>35</v>
      </c>
      <c r="C30">
        <v>-3.9</v>
      </c>
      <c r="D30">
        <f t="shared" si="0"/>
        <v>0</v>
      </c>
      <c r="E30">
        <v>2</v>
      </c>
      <c r="F30">
        <v>0</v>
      </c>
      <c r="G30">
        <v>0</v>
      </c>
      <c r="H30">
        <v>2</v>
      </c>
      <c r="I30">
        <v>0</v>
      </c>
      <c r="J30">
        <v>2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U30">
        <f t="shared" si="1"/>
        <v>3.9</v>
      </c>
    </row>
    <row r="31" spans="1:21">
      <c r="A31" t="s">
        <v>36</v>
      </c>
      <c r="B31" t="s">
        <v>37</v>
      </c>
      <c r="C31">
        <v>-4.6</v>
      </c>
      <c r="D31">
        <f t="shared" si="0"/>
        <v>0</v>
      </c>
      <c r="E31">
        <v>0</v>
      </c>
      <c r="F31">
        <v>0</v>
      </c>
      <c r="G31">
        <v>1</v>
      </c>
      <c r="H31">
        <v>0</v>
      </c>
      <c r="I31">
        <v>2</v>
      </c>
      <c r="J31">
        <v>0</v>
      </c>
      <c r="K31">
        <v>0</v>
      </c>
      <c r="L31">
        <v>2</v>
      </c>
      <c r="M31">
        <v>0</v>
      </c>
      <c r="N31">
        <v>2</v>
      </c>
      <c r="O31">
        <v>1</v>
      </c>
      <c r="P31">
        <v>0</v>
      </c>
      <c r="Q31">
        <v>0</v>
      </c>
      <c r="R31">
        <v>0</v>
      </c>
      <c r="U31">
        <f t="shared" si="1"/>
        <v>4.6</v>
      </c>
    </row>
    <row r="32" spans="1:21">
      <c r="A32" t="s">
        <v>38</v>
      </c>
      <c r="B32" t="s">
        <v>39</v>
      </c>
      <c r="C32">
        <v>-5.4</v>
      </c>
      <c r="D32">
        <f t="shared" si="0"/>
        <v>0</v>
      </c>
      <c r="E32">
        <v>0</v>
      </c>
      <c r="F32">
        <v>0</v>
      </c>
      <c r="G32">
        <v>1</v>
      </c>
      <c r="H32">
        <v>0</v>
      </c>
      <c r="I32">
        <v>2</v>
      </c>
      <c r="J32">
        <v>0</v>
      </c>
      <c r="K32">
        <v>0</v>
      </c>
      <c r="L32">
        <v>2</v>
      </c>
      <c r="M32">
        <v>0</v>
      </c>
      <c r="N32">
        <v>2</v>
      </c>
      <c r="O32">
        <v>1</v>
      </c>
      <c r="P32">
        <v>0</v>
      </c>
      <c r="Q32">
        <v>0</v>
      </c>
      <c r="R32">
        <v>0</v>
      </c>
      <c r="U32">
        <f t="shared" si="1"/>
        <v>5.4</v>
      </c>
    </row>
    <row r="33" spans="1:21">
      <c r="A33" t="s">
        <v>40</v>
      </c>
      <c r="B33" t="s">
        <v>41</v>
      </c>
      <c r="C33">
        <v>-5.7</v>
      </c>
      <c r="D33">
        <f t="shared" si="0"/>
        <v>0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4</v>
      </c>
      <c r="L33">
        <v>1</v>
      </c>
      <c r="M33">
        <v>0</v>
      </c>
      <c r="N33">
        <v>2</v>
      </c>
      <c r="O33">
        <v>1</v>
      </c>
      <c r="P33">
        <v>0</v>
      </c>
      <c r="Q33">
        <v>0</v>
      </c>
      <c r="R33">
        <v>0</v>
      </c>
      <c r="U33">
        <f t="shared" si="1"/>
        <v>5.7</v>
      </c>
    </row>
    <row r="34" spans="1:21">
      <c r="A34" t="s">
        <v>42</v>
      </c>
      <c r="B34" t="s">
        <v>43</v>
      </c>
      <c r="C34">
        <v>-6</v>
      </c>
      <c r="D34">
        <f t="shared" si="0"/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4</v>
      </c>
      <c r="L34">
        <v>1</v>
      </c>
      <c r="M34">
        <v>0</v>
      </c>
      <c r="N34">
        <v>2</v>
      </c>
      <c r="O34">
        <v>1</v>
      </c>
      <c r="P34">
        <v>0</v>
      </c>
      <c r="Q34">
        <v>0</v>
      </c>
      <c r="R34">
        <v>0</v>
      </c>
      <c r="U34">
        <f t="shared" si="1"/>
        <v>6</v>
      </c>
    </row>
    <row r="35" spans="1:21">
      <c r="A35" t="s">
        <v>44</v>
      </c>
      <c r="B35" t="s">
        <v>45</v>
      </c>
      <c r="C35">
        <v>-5</v>
      </c>
      <c r="D35">
        <f t="shared" si="0"/>
        <v>0</v>
      </c>
      <c r="E35">
        <v>0</v>
      </c>
      <c r="F35">
        <v>2</v>
      </c>
      <c r="G35">
        <v>0</v>
      </c>
      <c r="H35">
        <v>2</v>
      </c>
      <c r="I35">
        <v>0</v>
      </c>
      <c r="J35">
        <v>2</v>
      </c>
      <c r="K35">
        <v>2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U35">
        <f t="shared" si="1"/>
        <v>5</v>
      </c>
    </row>
    <row r="36" spans="1:21">
      <c r="A36" t="s">
        <v>46</v>
      </c>
      <c r="B36" t="s">
        <v>47</v>
      </c>
      <c r="C36">
        <v>-4.9</v>
      </c>
      <c r="D36">
        <f t="shared" si="0"/>
        <v>0</v>
      </c>
      <c r="E36">
        <v>0</v>
      </c>
      <c r="F36">
        <v>2</v>
      </c>
      <c r="G36">
        <v>0</v>
      </c>
      <c r="H36">
        <v>2</v>
      </c>
      <c r="I36">
        <v>0</v>
      </c>
      <c r="J36">
        <v>2</v>
      </c>
      <c r="K36">
        <v>2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>
        <v>0</v>
      </c>
      <c r="U36">
        <f t="shared" si="1"/>
        <v>4.9</v>
      </c>
    </row>
    <row r="37" spans="1:21">
      <c r="A37" t="s">
        <v>48</v>
      </c>
      <c r="B37" t="s">
        <v>49</v>
      </c>
      <c r="C37">
        <v>-9.4</v>
      </c>
      <c r="D37">
        <f t="shared" si="0"/>
        <v>0</v>
      </c>
      <c r="E37">
        <v>0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2</v>
      </c>
      <c r="M37">
        <v>3</v>
      </c>
      <c r="N37">
        <v>2</v>
      </c>
      <c r="O37">
        <v>0</v>
      </c>
      <c r="P37">
        <v>1</v>
      </c>
      <c r="Q37">
        <v>0</v>
      </c>
      <c r="R37">
        <v>1</v>
      </c>
      <c r="U37">
        <f t="shared" si="1"/>
        <v>9.4</v>
      </c>
    </row>
    <row r="38" spans="1:21">
      <c r="A38" t="s">
        <v>50</v>
      </c>
      <c r="B38" t="s">
        <v>51</v>
      </c>
      <c r="C38">
        <v>-9.3</v>
      </c>
      <c r="D38">
        <f t="shared" si="0"/>
        <v>0</v>
      </c>
      <c r="E38">
        <v>0</v>
      </c>
      <c r="F38">
        <v>0</v>
      </c>
      <c r="G38">
        <v>0</v>
      </c>
      <c r="H38">
        <v>2</v>
      </c>
      <c r="I38">
        <v>0</v>
      </c>
      <c r="J38">
        <v>0</v>
      </c>
      <c r="K38">
        <v>0</v>
      </c>
      <c r="L38">
        <v>2</v>
      </c>
      <c r="M38">
        <v>3</v>
      </c>
      <c r="N38">
        <v>2</v>
      </c>
      <c r="O38">
        <v>0</v>
      </c>
      <c r="P38">
        <v>1</v>
      </c>
      <c r="Q38">
        <v>0</v>
      </c>
      <c r="R38">
        <v>1</v>
      </c>
      <c r="U38">
        <f t="shared" si="1"/>
        <v>9.3</v>
      </c>
    </row>
    <row r="39" spans="1:21">
      <c r="A39" t="s">
        <v>52</v>
      </c>
      <c r="B39" t="s">
        <v>53</v>
      </c>
      <c r="C39">
        <v>-6.5</v>
      </c>
      <c r="D39">
        <f t="shared" si="0"/>
        <v>0</v>
      </c>
      <c r="E39">
        <v>0</v>
      </c>
      <c r="F39">
        <v>2</v>
      </c>
      <c r="G39">
        <v>2</v>
      </c>
      <c r="H39">
        <v>2</v>
      </c>
      <c r="I39">
        <v>0</v>
      </c>
      <c r="J39">
        <v>2</v>
      </c>
      <c r="K39">
        <v>0</v>
      </c>
      <c r="L39">
        <v>0</v>
      </c>
      <c r="M39">
        <v>1</v>
      </c>
      <c r="N39">
        <v>2</v>
      </c>
      <c r="O39">
        <v>1</v>
      </c>
      <c r="P39">
        <v>0</v>
      </c>
      <c r="Q39">
        <v>0</v>
      </c>
      <c r="R39">
        <v>0</v>
      </c>
      <c r="U39">
        <f t="shared" si="1"/>
        <v>6.5</v>
      </c>
    </row>
    <row r="40" spans="1:21">
      <c r="A40" t="s">
        <v>54</v>
      </c>
      <c r="B40" t="s">
        <v>55</v>
      </c>
      <c r="C40">
        <v>-6.8</v>
      </c>
      <c r="D40">
        <f t="shared" si="0"/>
        <v>0</v>
      </c>
      <c r="E40">
        <v>0</v>
      </c>
      <c r="F40">
        <v>2</v>
      </c>
      <c r="G40">
        <v>2</v>
      </c>
      <c r="H40">
        <v>2</v>
      </c>
      <c r="I40">
        <v>0</v>
      </c>
      <c r="J40">
        <v>2</v>
      </c>
      <c r="K40">
        <v>0</v>
      </c>
      <c r="L40">
        <v>0</v>
      </c>
      <c r="M40">
        <v>1</v>
      </c>
      <c r="N40">
        <v>2</v>
      </c>
      <c r="O40">
        <v>1</v>
      </c>
      <c r="P40">
        <v>0</v>
      </c>
      <c r="Q40">
        <v>0</v>
      </c>
      <c r="R40">
        <v>0</v>
      </c>
      <c r="U40">
        <f t="shared" si="1"/>
        <v>6.8</v>
      </c>
    </row>
    <row r="41" spans="1:21">
      <c r="A41">
        <v>10</v>
      </c>
      <c r="B41" t="s">
        <v>56</v>
      </c>
      <c r="C41">
        <v>-4.5</v>
      </c>
      <c r="D41">
        <f t="shared" si="0"/>
        <v>0</v>
      </c>
      <c r="E41">
        <v>0</v>
      </c>
      <c r="F41">
        <v>1</v>
      </c>
      <c r="G41">
        <v>0</v>
      </c>
      <c r="H41">
        <v>2</v>
      </c>
      <c r="I41">
        <v>2</v>
      </c>
      <c r="J41">
        <v>2</v>
      </c>
      <c r="K41">
        <v>2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U41">
        <f t="shared" si="1"/>
        <v>4.5</v>
      </c>
    </row>
    <row r="42" spans="1:21">
      <c r="A42">
        <v>11</v>
      </c>
      <c r="B42" t="s">
        <v>57</v>
      </c>
      <c r="C42">
        <v>-7</v>
      </c>
      <c r="D42">
        <f t="shared" si="0"/>
        <v>0</v>
      </c>
      <c r="E42">
        <v>2</v>
      </c>
      <c r="F42">
        <v>1</v>
      </c>
      <c r="G42">
        <v>0</v>
      </c>
      <c r="H42">
        <v>0</v>
      </c>
      <c r="I42">
        <v>0</v>
      </c>
      <c r="J42">
        <v>0</v>
      </c>
      <c r="K42">
        <v>2</v>
      </c>
      <c r="L42">
        <v>2</v>
      </c>
      <c r="M42">
        <v>2</v>
      </c>
      <c r="N42">
        <v>0</v>
      </c>
      <c r="O42">
        <v>1</v>
      </c>
      <c r="P42">
        <v>0</v>
      </c>
      <c r="Q42">
        <v>0</v>
      </c>
      <c r="R42">
        <v>0</v>
      </c>
      <c r="U42">
        <f t="shared" si="1"/>
        <v>7</v>
      </c>
    </row>
    <row r="43" spans="1:21">
      <c r="A43">
        <v>12</v>
      </c>
      <c r="B43" t="s">
        <v>58</v>
      </c>
      <c r="C43">
        <v>-6.7</v>
      </c>
      <c r="D43">
        <f t="shared" si="0"/>
        <v>0</v>
      </c>
      <c r="E43">
        <v>0</v>
      </c>
      <c r="F43">
        <v>2</v>
      </c>
      <c r="G43">
        <v>1</v>
      </c>
      <c r="H43">
        <v>0</v>
      </c>
      <c r="I43">
        <v>0</v>
      </c>
      <c r="J43">
        <v>2</v>
      </c>
      <c r="K43">
        <v>2</v>
      </c>
      <c r="L43">
        <v>2</v>
      </c>
      <c r="M43">
        <v>2</v>
      </c>
      <c r="N43">
        <v>0</v>
      </c>
      <c r="O43">
        <v>0</v>
      </c>
      <c r="P43">
        <v>1</v>
      </c>
      <c r="Q43">
        <v>0</v>
      </c>
      <c r="R43">
        <v>0</v>
      </c>
      <c r="U43">
        <f t="shared" si="1"/>
        <v>6.7</v>
      </c>
    </row>
    <row r="44" spans="1:21">
      <c r="A44">
        <v>13</v>
      </c>
      <c r="B44" t="s">
        <v>59</v>
      </c>
      <c r="C44">
        <v>-9.1</v>
      </c>
      <c r="D44">
        <f t="shared" si="0"/>
        <v>0</v>
      </c>
      <c r="E44">
        <v>0</v>
      </c>
      <c r="F44">
        <v>0</v>
      </c>
      <c r="G44">
        <v>0</v>
      </c>
      <c r="H44">
        <v>0</v>
      </c>
      <c r="I44">
        <v>4</v>
      </c>
      <c r="J44">
        <v>0</v>
      </c>
      <c r="K44">
        <v>4</v>
      </c>
      <c r="L44">
        <v>3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U44">
        <f t="shared" si="1"/>
        <v>9.1</v>
      </c>
    </row>
    <row r="45" spans="1:21">
      <c r="A45">
        <v>14</v>
      </c>
      <c r="B45" t="s">
        <v>60</v>
      </c>
      <c r="C45">
        <v>-12.2</v>
      </c>
      <c r="D45">
        <f t="shared" si="0"/>
        <v>0</v>
      </c>
      <c r="E45">
        <v>2</v>
      </c>
      <c r="F45">
        <v>0</v>
      </c>
      <c r="G45">
        <v>0</v>
      </c>
      <c r="H45">
        <v>2</v>
      </c>
      <c r="I45">
        <v>0</v>
      </c>
      <c r="J45">
        <v>2</v>
      </c>
      <c r="K45">
        <v>0</v>
      </c>
      <c r="L45">
        <v>1</v>
      </c>
      <c r="M45">
        <v>4</v>
      </c>
      <c r="N45">
        <v>2</v>
      </c>
      <c r="O45">
        <v>1</v>
      </c>
      <c r="P45">
        <v>0</v>
      </c>
      <c r="Q45">
        <v>0</v>
      </c>
      <c r="R45">
        <v>0</v>
      </c>
      <c r="U45">
        <f t="shared" si="1"/>
        <v>12.2</v>
      </c>
    </row>
    <row r="46" spans="1:21">
      <c r="A46">
        <v>15</v>
      </c>
      <c r="B46" t="s">
        <v>61</v>
      </c>
      <c r="C46">
        <v>-11.5</v>
      </c>
      <c r="D46">
        <f t="shared" si="0"/>
        <v>0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4</v>
      </c>
      <c r="L46">
        <v>4</v>
      </c>
      <c r="M46">
        <v>1</v>
      </c>
      <c r="N46">
        <v>2</v>
      </c>
      <c r="O46">
        <v>1</v>
      </c>
      <c r="P46">
        <v>0</v>
      </c>
      <c r="Q46">
        <v>0</v>
      </c>
      <c r="R46">
        <v>0</v>
      </c>
      <c r="U46">
        <f t="shared" si="1"/>
        <v>11.5</v>
      </c>
    </row>
    <row r="47" spans="1:21">
      <c r="A47">
        <v>16</v>
      </c>
      <c r="B47" t="s">
        <v>62</v>
      </c>
      <c r="C47">
        <v>-7.2</v>
      </c>
      <c r="D47">
        <f t="shared" si="0"/>
        <v>0</v>
      </c>
      <c r="E47">
        <v>0</v>
      </c>
      <c r="F47">
        <v>4</v>
      </c>
      <c r="G47">
        <v>2</v>
      </c>
      <c r="H47">
        <v>4</v>
      </c>
      <c r="I47">
        <v>0</v>
      </c>
      <c r="J47">
        <v>0</v>
      </c>
      <c r="K47">
        <v>0</v>
      </c>
      <c r="L47">
        <v>0</v>
      </c>
      <c r="M47">
        <v>1</v>
      </c>
      <c r="N47">
        <v>2</v>
      </c>
      <c r="O47">
        <v>1</v>
      </c>
      <c r="P47">
        <v>0</v>
      </c>
      <c r="Q47">
        <v>0</v>
      </c>
      <c r="R47">
        <v>0</v>
      </c>
      <c r="U47">
        <f t="shared" si="1"/>
        <v>7.2</v>
      </c>
    </row>
    <row r="48" spans="1:21">
      <c r="A48">
        <v>17</v>
      </c>
      <c r="B48" t="s">
        <v>63</v>
      </c>
      <c r="C48">
        <v>-8.2</v>
      </c>
      <c r="D48">
        <f t="shared" si="0"/>
        <v>0</v>
      </c>
      <c r="E48">
        <v>2</v>
      </c>
      <c r="F48">
        <v>2</v>
      </c>
      <c r="G48">
        <v>0</v>
      </c>
      <c r="H48">
        <v>2</v>
      </c>
      <c r="I48">
        <v>0</v>
      </c>
      <c r="J48">
        <v>2</v>
      </c>
      <c r="K48">
        <v>4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U48">
        <f t="shared" si="1"/>
        <v>8.2</v>
      </c>
    </row>
    <row r="49" spans="1:21">
      <c r="A49">
        <v>18</v>
      </c>
      <c r="B49" t="s">
        <v>64</v>
      </c>
      <c r="C49">
        <v>-13.6</v>
      </c>
      <c r="D49">
        <f t="shared" si="0"/>
        <v>0</v>
      </c>
      <c r="E49">
        <v>0</v>
      </c>
      <c r="F49">
        <v>0</v>
      </c>
      <c r="G49">
        <v>2</v>
      </c>
      <c r="H49">
        <v>0</v>
      </c>
      <c r="I49">
        <v>4</v>
      </c>
      <c r="J49">
        <v>0</v>
      </c>
      <c r="K49">
        <v>0</v>
      </c>
      <c r="L49">
        <v>6</v>
      </c>
      <c r="M49">
        <v>3</v>
      </c>
      <c r="N49">
        <v>0</v>
      </c>
      <c r="O49">
        <v>1</v>
      </c>
      <c r="P49">
        <v>0</v>
      </c>
      <c r="Q49">
        <v>0</v>
      </c>
      <c r="R49">
        <v>0</v>
      </c>
      <c r="U49">
        <f t="shared" si="1"/>
        <v>13.6</v>
      </c>
    </row>
    <row r="50" spans="1:21">
      <c r="A50">
        <v>19</v>
      </c>
      <c r="B50" t="s">
        <v>65</v>
      </c>
      <c r="C50">
        <v>-14.8</v>
      </c>
      <c r="D50">
        <f t="shared" si="0"/>
        <v>0</v>
      </c>
      <c r="E50">
        <v>2</v>
      </c>
      <c r="F50">
        <v>0</v>
      </c>
      <c r="G50">
        <v>0</v>
      </c>
      <c r="H50">
        <v>2</v>
      </c>
      <c r="I50">
        <v>0</v>
      </c>
      <c r="J50">
        <v>2</v>
      </c>
      <c r="K50">
        <v>0</v>
      </c>
      <c r="L50">
        <v>3</v>
      </c>
      <c r="M50">
        <v>4</v>
      </c>
      <c r="N50">
        <v>2</v>
      </c>
      <c r="O50">
        <v>1</v>
      </c>
      <c r="P50">
        <v>0</v>
      </c>
      <c r="Q50">
        <v>0</v>
      </c>
      <c r="R50">
        <v>0</v>
      </c>
      <c r="U50">
        <f t="shared" si="1"/>
        <v>14.8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4"/>
  <sheetViews>
    <sheetView tabSelected="1" topLeftCell="A14" workbookViewId="0">
      <selection activeCell="B29" sqref="B29"/>
    </sheetView>
  </sheetViews>
  <sheetFormatPr defaultColWidth="9" defaultRowHeight="18"/>
  <cols>
    <col min="1" max="3" width="9" style="1"/>
    <col min="4" max="5" width="13.75" style="1"/>
    <col min="6" max="6" width="9" style="1"/>
    <col min="7" max="7" width="11.5" style="1"/>
    <col min="8" max="8" width="9.375" style="1"/>
    <col min="9" max="22" width="9" style="1"/>
    <col min="23" max="23" width="9.375" style="1"/>
    <col min="24" max="16383" width="9" style="1"/>
  </cols>
  <sheetData>
    <row r="1" spans="4:6">
      <c r="D1" s="1" t="s">
        <v>66</v>
      </c>
      <c r="E1" s="1" t="s">
        <v>67</v>
      </c>
      <c r="F1" s="1" t="s">
        <v>68</v>
      </c>
    </row>
    <row r="2" spans="2:9">
      <c r="B2" t="s">
        <v>0</v>
      </c>
      <c r="C2" s="2">
        <v>-8.4</v>
      </c>
      <c r="D2" s="2">
        <v>-1.02</v>
      </c>
      <c r="E2" s="1">
        <v>0.795</v>
      </c>
      <c r="F2" s="2">
        <f>E2-D2</f>
        <v>1.815</v>
      </c>
      <c r="H2" s="1">
        <v>0.795</v>
      </c>
      <c r="I2" s="1">
        <f>H2*-1</f>
        <v>-0.795</v>
      </c>
    </row>
    <row r="3" spans="2:9">
      <c r="B3" t="s">
        <v>1</v>
      </c>
      <c r="C3" s="2">
        <v>-6.5</v>
      </c>
      <c r="D3" s="2">
        <v>-0.73</v>
      </c>
      <c r="E3" s="1">
        <v>0.289</v>
      </c>
      <c r="F3" s="2">
        <f t="shared" ref="F3:F15" si="0">E3-D3</f>
        <v>1.019</v>
      </c>
      <c r="H3" s="1">
        <v>0.289</v>
      </c>
      <c r="I3" s="1">
        <f t="shared" ref="I3:I15" si="1">H3*-1</f>
        <v>-0.289</v>
      </c>
    </row>
    <row r="4" spans="2:9">
      <c r="B4" t="s">
        <v>2</v>
      </c>
      <c r="C4" s="2">
        <v>-6.3</v>
      </c>
      <c r="D4" s="2">
        <v>-0.6</v>
      </c>
      <c r="E4" s="1">
        <v>0.916</v>
      </c>
      <c r="F4" s="2">
        <f t="shared" si="0"/>
        <v>1.516</v>
      </c>
      <c r="H4" s="1">
        <v>0.916</v>
      </c>
      <c r="I4" s="1">
        <f t="shared" si="1"/>
        <v>-0.916</v>
      </c>
    </row>
    <row r="5" spans="2:9">
      <c r="B5" t="s">
        <v>3</v>
      </c>
      <c r="C5" s="2">
        <v>-7.4</v>
      </c>
      <c r="D5" s="2">
        <v>-1.38</v>
      </c>
      <c r="E5" s="1">
        <v>1.748</v>
      </c>
      <c r="F5" s="2">
        <f t="shared" si="0"/>
        <v>3.128</v>
      </c>
      <c r="H5" s="1">
        <v>1.748</v>
      </c>
      <c r="I5" s="1">
        <f t="shared" si="1"/>
        <v>-1.748</v>
      </c>
    </row>
    <row r="6" spans="2:9">
      <c r="B6" t="s">
        <v>4</v>
      </c>
      <c r="C6" s="2">
        <v>-8.6</v>
      </c>
      <c r="D6" s="2">
        <v>-1.43</v>
      </c>
      <c r="E6" s="1">
        <v>1.769</v>
      </c>
      <c r="F6" s="2">
        <f t="shared" si="0"/>
        <v>3.199</v>
      </c>
      <c r="H6" s="1">
        <v>1.769</v>
      </c>
      <c r="I6" s="1">
        <f t="shared" si="1"/>
        <v>-1.769</v>
      </c>
    </row>
    <row r="7" spans="2:9">
      <c r="B7" t="s">
        <v>5</v>
      </c>
      <c r="C7" s="2">
        <v>-6.1</v>
      </c>
      <c r="D7" s="2">
        <v>-1.16</v>
      </c>
      <c r="E7" s="1">
        <v>1.531</v>
      </c>
      <c r="F7" s="2">
        <f t="shared" si="0"/>
        <v>2.691</v>
      </c>
      <c r="H7" s="1">
        <v>1.531</v>
      </c>
      <c r="I7" s="1">
        <f t="shared" si="1"/>
        <v>-1.531</v>
      </c>
    </row>
    <row r="8" spans="2:9">
      <c r="B8" t="s">
        <v>6</v>
      </c>
      <c r="C8" s="2">
        <v>-7.7</v>
      </c>
      <c r="D8" s="2">
        <v>-1.46</v>
      </c>
      <c r="E8" s="1">
        <v>0.991</v>
      </c>
      <c r="F8" s="2">
        <f t="shared" si="0"/>
        <v>2.451</v>
      </c>
      <c r="H8" s="1">
        <v>0.991</v>
      </c>
      <c r="I8" s="1">
        <f t="shared" si="1"/>
        <v>-0.991</v>
      </c>
    </row>
    <row r="9" spans="2:9">
      <c r="B9" t="s">
        <v>7</v>
      </c>
      <c r="C9" s="2">
        <v>-10.1</v>
      </c>
      <c r="D9" s="2">
        <v>-2.09</v>
      </c>
      <c r="E9" s="1">
        <v>1.944</v>
      </c>
      <c r="F9" s="2">
        <f t="shared" si="0"/>
        <v>4.034</v>
      </c>
      <c r="H9" s="1">
        <v>1.944</v>
      </c>
      <c r="I9" s="1">
        <f t="shared" si="1"/>
        <v>-1.944</v>
      </c>
    </row>
    <row r="10" spans="2:9">
      <c r="B10" t="s">
        <v>8</v>
      </c>
      <c r="C10" s="2">
        <v>-11.1</v>
      </c>
      <c r="D10" s="2">
        <v>-2.28</v>
      </c>
      <c r="E10" s="1">
        <v>2.233</v>
      </c>
      <c r="F10" s="2">
        <f t="shared" si="0"/>
        <v>4.513</v>
      </c>
      <c r="H10" s="1">
        <v>2.233</v>
      </c>
      <c r="I10" s="1">
        <f t="shared" si="1"/>
        <v>-2.233</v>
      </c>
    </row>
    <row r="11" spans="2:9">
      <c r="B11" t="s">
        <v>9</v>
      </c>
      <c r="C11" s="2">
        <v>-6.7</v>
      </c>
      <c r="D11" s="2">
        <v>-1.77</v>
      </c>
      <c r="E11" s="1">
        <v>1.236</v>
      </c>
      <c r="F11" s="2">
        <f t="shared" si="0"/>
        <v>3.006</v>
      </c>
      <c r="H11" s="1">
        <v>1.236</v>
      </c>
      <c r="I11" s="1">
        <f t="shared" si="1"/>
        <v>-1.236</v>
      </c>
    </row>
    <row r="12" spans="2:9">
      <c r="B12" t="s">
        <v>10</v>
      </c>
      <c r="C12" s="2">
        <v>0</v>
      </c>
      <c r="D12" s="2">
        <v>1.82</v>
      </c>
      <c r="E12" s="1">
        <v>-0.078</v>
      </c>
      <c r="F12" s="2">
        <f t="shared" si="0"/>
        <v>-1.898</v>
      </c>
      <c r="H12" s="1">
        <v>-0.078</v>
      </c>
      <c r="I12" s="1">
        <f t="shared" si="1"/>
        <v>0.078</v>
      </c>
    </row>
    <row r="13" spans="2:9">
      <c r="B13" t="s">
        <v>11</v>
      </c>
      <c r="C13" s="2">
        <v>0</v>
      </c>
      <c r="D13" s="2">
        <v>2.8</v>
      </c>
      <c r="E13" s="1">
        <v>0.144</v>
      </c>
      <c r="F13" s="2">
        <f t="shared" si="0"/>
        <v>-2.656</v>
      </c>
      <c r="H13" s="1">
        <v>0.144</v>
      </c>
      <c r="I13" s="1">
        <f t="shared" si="1"/>
        <v>-0.144</v>
      </c>
    </row>
    <row r="14" spans="2:9">
      <c r="B14" t="s">
        <v>12</v>
      </c>
      <c r="C14" s="2">
        <v>0</v>
      </c>
      <c r="D14" s="2">
        <v>0.4</v>
      </c>
      <c r="E14" s="1">
        <v>-0.508</v>
      </c>
      <c r="F14" s="2">
        <f t="shared" si="0"/>
        <v>-0.908</v>
      </c>
      <c r="H14" s="1">
        <v>-0.508</v>
      </c>
      <c r="I14" s="1">
        <f t="shared" si="1"/>
        <v>0.508</v>
      </c>
    </row>
    <row r="15" spans="2:9">
      <c r="B15" t="s">
        <v>13</v>
      </c>
      <c r="C15" s="2">
        <v>0.4</v>
      </c>
      <c r="D15" s="2">
        <v>0.4</v>
      </c>
      <c r="E15" s="1">
        <v>-1.141</v>
      </c>
      <c r="F15" s="2">
        <f t="shared" si="0"/>
        <v>-1.541</v>
      </c>
      <c r="H15" s="1">
        <v>-1.141</v>
      </c>
      <c r="I15" s="1">
        <f t="shared" si="1"/>
        <v>1.141</v>
      </c>
    </row>
    <row r="16" spans="2:3">
      <c r="B16"/>
      <c r="C16"/>
    </row>
    <row r="17" spans="2:5">
      <c r="B17"/>
      <c r="C17" t="s">
        <v>14</v>
      </c>
      <c r="D17">
        <f>AVERAGE(V24:V83)</f>
        <v>52.2583333333333</v>
      </c>
      <c r="E17"/>
    </row>
    <row r="18" spans="2:5">
      <c r="B18"/>
      <c r="C18" t="s">
        <v>15</v>
      </c>
      <c r="D18">
        <f>SUM(V24:V83)</f>
        <v>3135.5</v>
      </c>
      <c r="E18"/>
    </row>
    <row r="19" spans="2:5">
      <c r="B19"/>
      <c r="C19" t="s">
        <v>16</v>
      </c>
      <c r="D19">
        <f>CORREL(C25:C84,D25:D84)</f>
        <v>0.810734941298584</v>
      </c>
      <c r="E19"/>
    </row>
    <row r="20" spans="3:5">
      <c r="C20" t="s">
        <v>17</v>
      </c>
      <c r="D20">
        <f>RSQ(C25:C84,D25:D84)</f>
        <v>0.657291145042418</v>
      </c>
      <c r="E20"/>
    </row>
    <row r="21" spans="3:5">
      <c r="C21" s="1" t="s">
        <v>69</v>
      </c>
      <c r="D21" s="1">
        <f>SUM(W24:W83)</f>
        <v>189444.97</v>
      </c>
      <c r="E21"/>
    </row>
    <row r="22" spans="3:5">
      <c r="C22"/>
      <c r="D22"/>
      <c r="E22"/>
    </row>
    <row r="23" spans="2:23">
      <c r="B23"/>
      <c r="C23" t="s">
        <v>18</v>
      </c>
      <c r="D23"/>
      <c r="E23"/>
      <c r="F23" s="1" t="s">
        <v>0</v>
      </c>
      <c r="G23" s="1" t="s">
        <v>1</v>
      </c>
      <c r="H23" s="1" t="s">
        <v>2</v>
      </c>
      <c r="I23" s="1" t="s">
        <v>3</v>
      </c>
      <c r="J23" s="1" t="s">
        <v>4</v>
      </c>
      <c r="K23" s="1" t="s">
        <v>5</v>
      </c>
      <c r="L23" s="1" t="s">
        <v>6</v>
      </c>
      <c r="M23" s="1" t="s">
        <v>7</v>
      </c>
      <c r="N23" s="1" t="s">
        <v>8</v>
      </c>
      <c r="O23" s="1" t="s">
        <v>9</v>
      </c>
      <c r="P23" s="1" t="s">
        <v>10</v>
      </c>
      <c r="Q23" s="1" t="s">
        <v>11</v>
      </c>
      <c r="R23" s="1" t="s">
        <v>12</v>
      </c>
      <c r="S23" s="1" t="s">
        <v>13</v>
      </c>
      <c r="U23" s="1" t="s">
        <v>70</v>
      </c>
      <c r="V23" s="1" t="s">
        <v>20</v>
      </c>
      <c r="W23" s="1" t="s">
        <v>71</v>
      </c>
    </row>
    <row r="24" spans="2:23">
      <c r="B24" s="3" t="s">
        <v>21</v>
      </c>
      <c r="C24" s="3"/>
      <c r="D24" s="3"/>
      <c r="E24" s="3"/>
      <c r="F24" s="3">
        <f>C2</f>
        <v>-8.4</v>
      </c>
      <c r="G24" s="3">
        <f>C3</f>
        <v>-6.5</v>
      </c>
      <c r="H24" s="3">
        <f>C4</f>
        <v>-6.3</v>
      </c>
      <c r="I24" s="3">
        <f>C5</f>
        <v>-7.4</v>
      </c>
      <c r="J24" s="3">
        <f>C6</f>
        <v>-8.6</v>
      </c>
      <c r="K24" s="3">
        <f>C7</f>
        <v>-6.1</v>
      </c>
      <c r="L24" s="3">
        <f>C8</f>
        <v>-7.7</v>
      </c>
      <c r="M24" s="3">
        <f>C9</f>
        <v>-10.1</v>
      </c>
      <c r="N24" s="3">
        <f>C10</f>
        <v>-11.1</v>
      </c>
      <c r="O24" s="3">
        <f>C11</f>
        <v>-6.7</v>
      </c>
      <c r="P24" s="3">
        <f>C12</f>
        <v>0</v>
      </c>
      <c r="Q24" s="3">
        <f>C13</f>
        <v>0</v>
      </c>
      <c r="R24" s="3">
        <f>C14</f>
        <v>0</v>
      </c>
      <c r="S24" s="3">
        <f>C15</f>
        <v>0.4</v>
      </c>
      <c r="U24" s="1">
        <v>3.5</v>
      </c>
      <c r="V24" s="1">
        <f>ABS(C25-D25)</f>
        <v>20</v>
      </c>
      <c r="W24" s="1">
        <f>(D25-C25)^2</f>
        <v>400</v>
      </c>
    </row>
    <row r="25" spans="1:23">
      <c r="A25" s="1">
        <v>1</v>
      </c>
      <c r="B25" s="1" t="s">
        <v>72</v>
      </c>
      <c r="C25" s="1">
        <f>U24*-1</f>
        <v>-3.5</v>
      </c>
      <c r="D25">
        <f t="shared" ref="D25:D52" si="2">F$24*F25+G$24*G25+H$24*H25+I$24*I25+J$24*J25+K$24*K25+L$24*L25+M$24*M25+N$24*N25+O$24*O25+P$24*P25+Q$24*Q25+R$24*R25+S$24*S25</f>
        <v>-23.5</v>
      </c>
      <c r="E25"/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2</v>
      </c>
      <c r="P25" s="1">
        <v>1</v>
      </c>
      <c r="Q25" s="1">
        <v>0</v>
      </c>
      <c r="R25" s="1">
        <v>0</v>
      </c>
      <c r="S25" s="1">
        <v>0</v>
      </c>
      <c r="U25" s="1">
        <v>4</v>
      </c>
      <c r="V25" s="1">
        <f t="shared" ref="V25:V56" si="3">ABS(C26-D26)</f>
        <v>27.3</v>
      </c>
      <c r="W25" s="1">
        <f t="shared" ref="W25:W56" si="4">(D26-C26)^2</f>
        <v>745.29</v>
      </c>
    </row>
    <row r="26" spans="1:23">
      <c r="A26" s="1">
        <v>2</v>
      </c>
      <c r="B26" s="1" t="s">
        <v>73</v>
      </c>
      <c r="C26" s="1">
        <f t="shared" ref="C26:C57" si="5">U25*-1</f>
        <v>-4</v>
      </c>
      <c r="D26">
        <f t="shared" si="2"/>
        <v>-31.3</v>
      </c>
      <c r="E26"/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2</v>
      </c>
      <c r="N26" s="1">
        <v>1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U26" s="1">
        <v>4.4</v>
      </c>
      <c r="V26" s="1">
        <f t="shared" si="3"/>
        <v>27.9</v>
      </c>
      <c r="W26" s="1">
        <f t="shared" si="4"/>
        <v>778.41</v>
      </c>
    </row>
    <row r="27" spans="1:23">
      <c r="A27" s="1">
        <v>3</v>
      </c>
      <c r="B27" s="1" t="s">
        <v>74</v>
      </c>
      <c r="C27" s="1">
        <f t="shared" si="5"/>
        <v>-4.4</v>
      </c>
      <c r="D27">
        <f t="shared" si="2"/>
        <v>-32.3</v>
      </c>
      <c r="E27"/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2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U27" s="1">
        <v>8</v>
      </c>
      <c r="V27" s="1">
        <f t="shared" si="3"/>
        <v>36.7</v>
      </c>
      <c r="W27" s="1">
        <f t="shared" si="4"/>
        <v>1346.89</v>
      </c>
    </row>
    <row r="28" spans="1:23">
      <c r="A28" s="1">
        <v>4</v>
      </c>
      <c r="B28" s="1" t="s">
        <v>23</v>
      </c>
      <c r="C28" s="1">
        <f t="shared" si="5"/>
        <v>-8</v>
      </c>
      <c r="D28">
        <f t="shared" si="2"/>
        <v>-44.7</v>
      </c>
      <c r="E28"/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2</v>
      </c>
      <c r="N28" s="1">
        <v>1</v>
      </c>
      <c r="O28" s="1">
        <v>2</v>
      </c>
      <c r="P28" s="1">
        <v>1</v>
      </c>
      <c r="Q28" s="1">
        <v>0</v>
      </c>
      <c r="R28" s="1">
        <v>0</v>
      </c>
      <c r="S28" s="1">
        <v>0</v>
      </c>
      <c r="U28" s="1">
        <v>5.3</v>
      </c>
      <c r="V28" s="1">
        <f t="shared" si="3"/>
        <v>103.4</v>
      </c>
      <c r="W28" s="1">
        <f t="shared" si="4"/>
        <v>10691.56</v>
      </c>
    </row>
    <row r="29" spans="1:23">
      <c r="A29" s="1">
        <v>5</v>
      </c>
      <c r="B29" s="1" t="s">
        <v>61</v>
      </c>
      <c r="C29" s="1">
        <f t="shared" si="5"/>
        <v>-5.3</v>
      </c>
      <c r="D29">
        <f t="shared" si="2"/>
        <v>-108.7</v>
      </c>
      <c r="E29"/>
      <c r="F29" s="1">
        <v>0</v>
      </c>
      <c r="G29" s="1">
        <v>2</v>
      </c>
      <c r="H29" s="1">
        <v>0</v>
      </c>
      <c r="I29" s="1">
        <v>0</v>
      </c>
      <c r="J29" s="1">
        <v>0</v>
      </c>
      <c r="K29" s="1">
        <v>0</v>
      </c>
      <c r="L29" s="1">
        <v>4</v>
      </c>
      <c r="M29" s="1">
        <v>4</v>
      </c>
      <c r="N29" s="1">
        <v>1</v>
      </c>
      <c r="O29" s="1">
        <v>2</v>
      </c>
      <c r="P29" s="1">
        <v>1</v>
      </c>
      <c r="Q29" s="1">
        <v>0</v>
      </c>
      <c r="R29" s="1">
        <v>0</v>
      </c>
      <c r="S29" s="1">
        <v>0</v>
      </c>
      <c r="U29" s="1">
        <v>8.3</v>
      </c>
      <c r="V29" s="1">
        <f t="shared" si="3"/>
        <v>44.2</v>
      </c>
      <c r="W29" s="1">
        <f t="shared" si="4"/>
        <v>1953.64</v>
      </c>
    </row>
    <row r="30" spans="1:23">
      <c r="A30" s="1">
        <v>6</v>
      </c>
      <c r="B30" s="1" t="s">
        <v>75</v>
      </c>
      <c r="C30" s="1">
        <f t="shared" si="5"/>
        <v>-8.3</v>
      </c>
      <c r="D30">
        <f t="shared" si="2"/>
        <v>-52.5</v>
      </c>
      <c r="E30"/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3</v>
      </c>
      <c r="N30" s="1">
        <v>2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U30" s="1">
        <v>8.3</v>
      </c>
      <c r="V30" s="1">
        <f t="shared" si="3"/>
        <v>36.4</v>
      </c>
      <c r="W30" s="1">
        <f t="shared" si="4"/>
        <v>1324.96</v>
      </c>
    </row>
    <row r="31" spans="1:23">
      <c r="A31" s="1">
        <v>7</v>
      </c>
      <c r="B31" s="1" t="s">
        <v>25</v>
      </c>
      <c r="C31" s="1">
        <f t="shared" si="5"/>
        <v>-8.3</v>
      </c>
      <c r="D31">
        <f t="shared" si="2"/>
        <v>-44.7</v>
      </c>
      <c r="E31"/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2</v>
      </c>
      <c r="N31" s="1">
        <v>1</v>
      </c>
      <c r="O31" s="1">
        <v>2</v>
      </c>
      <c r="P31" s="1">
        <v>1</v>
      </c>
      <c r="Q31" s="1">
        <v>0</v>
      </c>
      <c r="R31" s="1">
        <v>0</v>
      </c>
      <c r="S31" s="1">
        <v>0</v>
      </c>
      <c r="U31" s="1">
        <v>5.4</v>
      </c>
      <c r="V31" s="1">
        <f t="shared" si="3"/>
        <v>38.3</v>
      </c>
      <c r="W31" s="1">
        <f t="shared" si="4"/>
        <v>1466.89</v>
      </c>
    </row>
    <row r="32" spans="1:23">
      <c r="A32" s="1">
        <v>8</v>
      </c>
      <c r="B32" s="1" t="s">
        <v>76</v>
      </c>
      <c r="C32" s="1">
        <f t="shared" si="5"/>
        <v>-5.4</v>
      </c>
      <c r="D32">
        <f t="shared" si="2"/>
        <v>-43.7</v>
      </c>
      <c r="E32"/>
      <c r="F32" s="1">
        <v>0</v>
      </c>
      <c r="G32" s="1">
        <v>0</v>
      </c>
      <c r="H32" s="1">
        <v>1</v>
      </c>
      <c r="I32" s="1">
        <v>0</v>
      </c>
      <c r="J32" s="1">
        <v>2</v>
      </c>
      <c r="K32" s="1">
        <v>0</v>
      </c>
      <c r="L32" s="1">
        <v>0</v>
      </c>
      <c r="M32" s="1">
        <v>2</v>
      </c>
      <c r="N32" s="1">
        <v>0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U32" s="1">
        <v>5.6</v>
      </c>
      <c r="V32" s="1">
        <f t="shared" si="3"/>
        <v>37.1</v>
      </c>
      <c r="W32" s="1">
        <f t="shared" si="4"/>
        <v>1376.41</v>
      </c>
    </row>
    <row r="33" spans="1:23">
      <c r="A33" s="1">
        <v>9</v>
      </c>
      <c r="B33" s="1" t="s">
        <v>77</v>
      </c>
      <c r="C33" s="1">
        <f t="shared" si="5"/>
        <v>-5.6</v>
      </c>
      <c r="D33">
        <f t="shared" si="2"/>
        <v>-42.7</v>
      </c>
      <c r="E33"/>
      <c r="F33" s="1">
        <v>0</v>
      </c>
      <c r="G33" s="1">
        <v>0</v>
      </c>
      <c r="H33" s="1">
        <v>0</v>
      </c>
      <c r="I33" s="1">
        <v>0</v>
      </c>
      <c r="J33" s="1">
        <v>2</v>
      </c>
      <c r="K33" s="1">
        <v>0</v>
      </c>
      <c r="L33" s="1">
        <v>2</v>
      </c>
      <c r="M33" s="1">
        <v>1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U33" s="1">
        <v>5.6</v>
      </c>
      <c r="V33" s="1">
        <f t="shared" si="3"/>
        <v>37.9</v>
      </c>
      <c r="W33" s="1">
        <f t="shared" si="4"/>
        <v>1436.41</v>
      </c>
    </row>
    <row r="34" spans="1:23">
      <c r="A34" s="1">
        <v>10</v>
      </c>
      <c r="B34" s="1" t="s">
        <v>78</v>
      </c>
      <c r="C34" s="1">
        <f t="shared" si="5"/>
        <v>-5.6</v>
      </c>
      <c r="D34">
        <f t="shared" si="2"/>
        <v>-43.5</v>
      </c>
      <c r="E34"/>
      <c r="F34" s="1">
        <v>0</v>
      </c>
      <c r="G34" s="1">
        <v>1</v>
      </c>
      <c r="H34" s="1">
        <v>0</v>
      </c>
      <c r="I34" s="1">
        <v>2</v>
      </c>
      <c r="J34" s="1">
        <v>0</v>
      </c>
      <c r="K34" s="1">
        <v>0</v>
      </c>
      <c r="L34" s="1">
        <v>0</v>
      </c>
      <c r="M34" s="1">
        <v>0</v>
      </c>
      <c r="N34" s="1">
        <v>2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U34" s="1">
        <v>8.5</v>
      </c>
      <c r="V34" s="1">
        <f t="shared" si="3"/>
        <v>37.2</v>
      </c>
      <c r="W34" s="1">
        <f t="shared" si="4"/>
        <v>1383.84</v>
      </c>
    </row>
    <row r="35" spans="1:23">
      <c r="A35" s="1">
        <v>11</v>
      </c>
      <c r="B35" s="1" t="s">
        <v>79</v>
      </c>
      <c r="C35" s="1">
        <f t="shared" si="5"/>
        <v>-8.5</v>
      </c>
      <c r="D35">
        <f t="shared" si="2"/>
        <v>-45.7</v>
      </c>
      <c r="E35"/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  <c r="N35" s="1">
        <v>2</v>
      </c>
      <c r="O35" s="1">
        <v>2</v>
      </c>
      <c r="P35" s="1">
        <v>1</v>
      </c>
      <c r="Q35" s="1">
        <v>0</v>
      </c>
      <c r="R35" s="1">
        <v>0</v>
      </c>
      <c r="S35" s="1">
        <v>0</v>
      </c>
      <c r="U35" s="1">
        <v>7.7</v>
      </c>
      <c r="V35" s="1">
        <f t="shared" si="3"/>
        <v>38.4</v>
      </c>
      <c r="W35" s="1">
        <f t="shared" si="4"/>
        <v>1474.56</v>
      </c>
    </row>
    <row r="36" spans="1:23">
      <c r="A36" s="1">
        <v>12</v>
      </c>
      <c r="B36" s="1" t="s">
        <v>80</v>
      </c>
      <c r="C36" s="1">
        <f t="shared" si="5"/>
        <v>-7.7</v>
      </c>
      <c r="D36">
        <f t="shared" si="2"/>
        <v>-46.1</v>
      </c>
      <c r="E36"/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1</v>
      </c>
      <c r="M36" s="1">
        <v>1</v>
      </c>
      <c r="N36" s="1">
        <v>2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U36" s="1">
        <v>9.1</v>
      </c>
      <c r="V36" s="1">
        <f t="shared" si="3"/>
        <v>44.4</v>
      </c>
      <c r="W36" s="1">
        <f t="shared" si="4"/>
        <v>1971.36</v>
      </c>
    </row>
    <row r="37" spans="1:23">
      <c r="A37" s="1">
        <v>13</v>
      </c>
      <c r="B37" s="1" t="s">
        <v>81</v>
      </c>
      <c r="C37" s="1">
        <f t="shared" si="5"/>
        <v>-9.1</v>
      </c>
      <c r="D37">
        <f t="shared" si="2"/>
        <v>-53.5</v>
      </c>
      <c r="E37"/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2</v>
      </c>
      <c r="N37" s="1">
        <v>3</v>
      </c>
      <c r="O37" s="1">
        <v>0</v>
      </c>
      <c r="P37" s="1">
        <v>1</v>
      </c>
      <c r="Q37" s="1">
        <v>0</v>
      </c>
      <c r="R37" s="1">
        <v>0</v>
      </c>
      <c r="S37" s="1">
        <v>0</v>
      </c>
      <c r="U37" s="1">
        <v>5.3</v>
      </c>
      <c r="V37" s="1">
        <f t="shared" si="3"/>
        <v>35.4</v>
      </c>
      <c r="W37" s="1">
        <f t="shared" si="4"/>
        <v>1253.16</v>
      </c>
    </row>
    <row r="38" spans="1:23">
      <c r="A38" s="1">
        <v>14</v>
      </c>
      <c r="B38" s="1" t="s">
        <v>82</v>
      </c>
      <c r="C38" s="1">
        <f t="shared" si="5"/>
        <v>-5.3</v>
      </c>
      <c r="D38">
        <f t="shared" si="2"/>
        <v>-40.7</v>
      </c>
      <c r="E38"/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2</v>
      </c>
      <c r="L38" s="1">
        <v>0</v>
      </c>
      <c r="M38" s="1">
        <v>0</v>
      </c>
      <c r="N38" s="1">
        <v>2</v>
      </c>
      <c r="O38" s="1">
        <v>0</v>
      </c>
      <c r="P38" s="1">
        <v>1</v>
      </c>
      <c r="Q38" s="1">
        <v>0</v>
      </c>
      <c r="R38" s="1">
        <v>0</v>
      </c>
      <c r="S38" s="1">
        <v>0</v>
      </c>
      <c r="U38" s="1">
        <v>5</v>
      </c>
      <c r="V38" s="1">
        <f t="shared" si="3"/>
        <v>30.3</v>
      </c>
      <c r="W38" s="1">
        <f t="shared" si="4"/>
        <v>918.09</v>
      </c>
    </row>
    <row r="39" spans="1:23">
      <c r="A39" s="1">
        <v>15</v>
      </c>
      <c r="B39" s="1" t="s">
        <v>83</v>
      </c>
      <c r="C39" s="1">
        <f t="shared" si="5"/>
        <v>-5</v>
      </c>
      <c r="D39">
        <f t="shared" si="2"/>
        <v>-35.3</v>
      </c>
      <c r="E39"/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2</v>
      </c>
      <c r="M39" s="1">
        <v>0</v>
      </c>
      <c r="N39" s="1">
        <v>0</v>
      </c>
      <c r="O39" s="1">
        <v>2</v>
      </c>
      <c r="P39" s="1">
        <v>1</v>
      </c>
      <c r="Q39" s="1">
        <v>0</v>
      </c>
      <c r="R39" s="1">
        <v>0</v>
      </c>
      <c r="S39" s="1">
        <v>0</v>
      </c>
      <c r="U39" s="1">
        <v>7.9</v>
      </c>
      <c r="V39" s="1">
        <f t="shared" si="3"/>
        <v>37.8</v>
      </c>
      <c r="W39" s="1">
        <f t="shared" si="4"/>
        <v>1428.84</v>
      </c>
    </row>
    <row r="40" spans="1:23">
      <c r="A40" s="1">
        <v>16</v>
      </c>
      <c r="B40" s="1" t="s">
        <v>84</v>
      </c>
      <c r="C40" s="1">
        <f t="shared" si="5"/>
        <v>-7.9</v>
      </c>
      <c r="D40">
        <f t="shared" si="2"/>
        <v>-45.7</v>
      </c>
      <c r="E40"/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  <c r="N40" s="1">
        <v>2</v>
      </c>
      <c r="O40" s="1">
        <v>2</v>
      </c>
      <c r="P40" s="1">
        <v>1</v>
      </c>
      <c r="Q40" s="1">
        <v>0</v>
      </c>
      <c r="R40" s="1">
        <v>0</v>
      </c>
      <c r="S40" s="1">
        <v>0</v>
      </c>
      <c r="U40" s="1">
        <v>6.5</v>
      </c>
      <c r="V40" s="1">
        <f t="shared" si="3"/>
        <v>29.9</v>
      </c>
      <c r="W40" s="1">
        <f t="shared" si="4"/>
        <v>894.01</v>
      </c>
    </row>
    <row r="41" spans="1:23">
      <c r="A41" s="1">
        <v>17</v>
      </c>
      <c r="B41" s="1" t="s">
        <v>85</v>
      </c>
      <c r="C41" s="1">
        <f t="shared" si="5"/>
        <v>-6.5</v>
      </c>
      <c r="D41">
        <f t="shared" si="2"/>
        <v>-36.4</v>
      </c>
      <c r="E41"/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1">
        <v>0</v>
      </c>
      <c r="L41" s="1">
        <v>1</v>
      </c>
      <c r="M41" s="1">
        <v>0</v>
      </c>
      <c r="N41" s="1">
        <v>0</v>
      </c>
      <c r="O41" s="1">
        <v>3</v>
      </c>
      <c r="P41" s="1">
        <v>1</v>
      </c>
      <c r="Q41" s="1">
        <v>0</v>
      </c>
      <c r="R41" s="1">
        <v>0</v>
      </c>
      <c r="S41" s="1">
        <v>0</v>
      </c>
      <c r="U41" s="1">
        <v>5.1</v>
      </c>
      <c r="V41" s="1">
        <f t="shared" si="3"/>
        <v>35.6</v>
      </c>
      <c r="W41" s="1">
        <f t="shared" si="4"/>
        <v>1267.36</v>
      </c>
    </row>
    <row r="42" spans="1:23">
      <c r="A42" s="1">
        <v>18</v>
      </c>
      <c r="B42" s="1" t="s">
        <v>86</v>
      </c>
      <c r="C42" s="1">
        <f t="shared" si="5"/>
        <v>-5.1</v>
      </c>
      <c r="D42">
        <f t="shared" si="2"/>
        <v>-40.7</v>
      </c>
      <c r="E42"/>
      <c r="F42" s="1">
        <v>1</v>
      </c>
      <c r="G42" s="1">
        <v>0</v>
      </c>
      <c r="H42" s="1">
        <v>0</v>
      </c>
      <c r="I42" s="1">
        <v>1</v>
      </c>
      <c r="J42" s="1">
        <v>2</v>
      </c>
      <c r="K42" s="1">
        <v>0</v>
      </c>
      <c r="L42" s="1">
        <v>1</v>
      </c>
      <c r="M42" s="1">
        <v>0</v>
      </c>
      <c r="N42" s="1">
        <v>0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U42" s="1">
        <v>4.8</v>
      </c>
      <c r="V42" s="1">
        <f t="shared" si="3"/>
        <v>42.3</v>
      </c>
      <c r="W42" s="1">
        <f t="shared" si="4"/>
        <v>1789.29</v>
      </c>
    </row>
    <row r="43" spans="1:23">
      <c r="A43" s="1">
        <v>19</v>
      </c>
      <c r="B43" s="1" t="s">
        <v>87</v>
      </c>
      <c r="C43" s="1">
        <f t="shared" si="5"/>
        <v>-4.8</v>
      </c>
      <c r="D43">
        <f t="shared" si="2"/>
        <v>-47.1</v>
      </c>
      <c r="E43"/>
      <c r="F43" s="1">
        <v>4</v>
      </c>
      <c r="G43" s="1">
        <v>0</v>
      </c>
      <c r="H43" s="1">
        <v>0</v>
      </c>
      <c r="I43" s="1">
        <v>1</v>
      </c>
      <c r="J43" s="1">
        <v>0</v>
      </c>
      <c r="K43" s="1">
        <v>1</v>
      </c>
      <c r="L43" s="1">
        <v>0</v>
      </c>
      <c r="M43" s="1">
        <v>0</v>
      </c>
      <c r="N43" s="1">
        <v>0</v>
      </c>
      <c r="O43" s="1">
        <v>0</v>
      </c>
      <c r="P43" s="1">
        <v>1</v>
      </c>
      <c r="Q43" s="1">
        <v>0</v>
      </c>
      <c r="R43" s="1">
        <v>0</v>
      </c>
      <c r="S43" s="1">
        <v>0</v>
      </c>
      <c r="U43" s="1">
        <v>5.7</v>
      </c>
      <c r="V43" s="1">
        <f t="shared" si="3"/>
        <v>49.8</v>
      </c>
      <c r="W43" s="1">
        <f t="shared" si="4"/>
        <v>2480.04</v>
      </c>
    </row>
    <row r="44" spans="1:23">
      <c r="A44" s="1">
        <v>20</v>
      </c>
      <c r="B44" s="1" t="s">
        <v>88</v>
      </c>
      <c r="C44" s="1">
        <f t="shared" si="5"/>
        <v>-5.7</v>
      </c>
      <c r="D44">
        <f t="shared" si="2"/>
        <v>-55.5</v>
      </c>
      <c r="E44"/>
      <c r="F44" s="1">
        <v>5</v>
      </c>
      <c r="G44" s="1">
        <v>0</v>
      </c>
      <c r="H44" s="1">
        <v>0</v>
      </c>
      <c r="I44" s="1">
        <v>1</v>
      </c>
      <c r="J44" s="1">
        <v>0</v>
      </c>
      <c r="K44" s="1">
        <v>1</v>
      </c>
      <c r="L44" s="1">
        <v>0</v>
      </c>
      <c r="M44" s="1">
        <v>0</v>
      </c>
      <c r="N44" s="1">
        <v>0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U44" s="1">
        <v>7</v>
      </c>
      <c r="V44" s="1">
        <f t="shared" si="3"/>
        <v>47.9</v>
      </c>
      <c r="W44" s="1">
        <f t="shared" si="4"/>
        <v>2294.41</v>
      </c>
    </row>
    <row r="45" spans="1:23">
      <c r="A45" s="1">
        <v>21</v>
      </c>
      <c r="B45" s="1" t="s">
        <v>34</v>
      </c>
      <c r="C45" s="1">
        <f t="shared" si="5"/>
        <v>-7</v>
      </c>
      <c r="D45">
        <f t="shared" si="2"/>
        <v>-54.9</v>
      </c>
      <c r="E45"/>
      <c r="F45" s="1">
        <v>2</v>
      </c>
      <c r="G45" s="1">
        <v>0</v>
      </c>
      <c r="H45" s="1">
        <v>0</v>
      </c>
      <c r="I45" s="1">
        <v>2</v>
      </c>
      <c r="J45" s="1">
        <v>0</v>
      </c>
      <c r="K45" s="1">
        <v>2</v>
      </c>
      <c r="L45" s="1">
        <v>0</v>
      </c>
      <c r="M45" s="1">
        <v>0</v>
      </c>
      <c r="N45" s="1">
        <v>1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U45" s="1">
        <v>7.6</v>
      </c>
      <c r="V45" s="1">
        <f t="shared" si="3"/>
        <v>45.7</v>
      </c>
      <c r="W45" s="1">
        <f t="shared" si="4"/>
        <v>2088.49</v>
      </c>
    </row>
    <row r="46" spans="1:23">
      <c r="A46" s="1">
        <v>22</v>
      </c>
      <c r="B46" s="1" t="s">
        <v>89</v>
      </c>
      <c r="C46" s="1">
        <f t="shared" si="5"/>
        <v>-7.6</v>
      </c>
      <c r="D46">
        <f t="shared" si="2"/>
        <v>-53.3</v>
      </c>
      <c r="E46"/>
      <c r="F46" s="1">
        <v>0</v>
      </c>
      <c r="G46" s="1">
        <v>2</v>
      </c>
      <c r="H46" s="1">
        <v>0</v>
      </c>
      <c r="I46" s="1">
        <v>2</v>
      </c>
      <c r="J46" s="1">
        <v>0</v>
      </c>
      <c r="K46" s="1">
        <v>0</v>
      </c>
      <c r="L46" s="1">
        <v>2</v>
      </c>
      <c r="M46" s="1">
        <v>1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U46" s="1">
        <v>6.9</v>
      </c>
      <c r="V46" s="1">
        <f t="shared" si="3"/>
        <v>48</v>
      </c>
      <c r="W46" s="1">
        <f t="shared" si="4"/>
        <v>2304</v>
      </c>
    </row>
    <row r="47" spans="1:23">
      <c r="A47" s="1">
        <v>23</v>
      </c>
      <c r="B47" s="1" t="s">
        <v>90</v>
      </c>
      <c r="C47" s="1">
        <f t="shared" si="5"/>
        <v>-6.9</v>
      </c>
      <c r="D47">
        <f t="shared" si="2"/>
        <v>-54.9</v>
      </c>
      <c r="E47"/>
      <c r="F47" s="1">
        <v>0</v>
      </c>
      <c r="G47" s="1">
        <v>2</v>
      </c>
      <c r="H47" s="1">
        <v>1</v>
      </c>
      <c r="I47" s="1">
        <v>0</v>
      </c>
      <c r="J47" s="1">
        <v>0</v>
      </c>
      <c r="K47" s="1">
        <v>0</v>
      </c>
      <c r="L47" s="1">
        <v>2</v>
      </c>
      <c r="M47" s="1">
        <v>2</v>
      </c>
      <c r="N47" s="1">
        <v>0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U47" s="1">
        <v>9.8</v>
      </c>
      <c r="V47" s="1">
        <f t="shared" si="3"/>
        <v>53.1</v>
      </c>
      <c r="W47" s="1">
        <f t="shared" si="4"/>
        <v>2819.61</v>
      </c>
    </row>
    <row r="48" spans="1:23">
      <c r="A48" s="1">
        <v>24</v>
      </c>
      <c r="B48" s="1" t="s">
        <v>31</v>
      </c>
      <c r="C48" s="1">
        <f t="shared" si="5"/>
        <v>-9.8</v>
      </c>
      <c r="D48">
        <f t="shared" si="2"/>
        <v>-62.9</v>
      </c>
      <c r="E48"/>
      <c r="F48" s="1">
        <v>0</v>
      </c>
      <c r="G48" s="1">
        <v>0</v>
      </c>
      <c r="H48" s="1">
        <v>0</v>
      </c>
      <c r="I48" s="1">
        <v>0</v>
      </c>
      <c r="J48" s="1">
        <v>2</v>
      </c>
      <c r="K48" s="1">
        <v>0</v>
      </c>
      <c r="L48" s="1">
        <v>2</v>
      </c>
      <c r="M48" s="1">
        <v>3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U48" s="1">
        <v>7</v>
      </c>
      <c r="V48" s="1">
        <f t="shared" si="3"/>
        <v>48.5</v>
      </c>
      <c r="W48" s="1">
        <f t="shared" si="4"/>
        <v>2352.25</v>
      </c>
    </row>
    <row r="49" spans="1:23">
      <c r="A49" s="1">
        <v>25</v>
      </c>
      <c r="B49" s="1" t="s">
        <v>91</v>
      </c>
      <c r="C49" s="1">
        <f t="shared" si="5"/>
        <v>-7</v>
      </c>
      <c r="D49">
        <f t="shared" si="2"/>
        <v>-55.5</v>
      </c>
      <c r="E49"/>
      <c r="F49" s="1">
        <v>2</v>
      </c>
      <c r="G49" s="1">
        <v>0</v>
      </c>
      <c r="H49" s="1">
        <v>0</v>
      </c>
      <c r="I49" s="1">
        <v>0</v>
      </c>
      <c r="J49" s="1">
        <v>0</v>
      </c>
      <c r="K49" s="1">
        <v>2</v>
      </c>
      <c r="L49" s="1">
        <v>2</v>
      </c>
      <c r="M49" s="1">
        <v>0</v>
      </c>
      <c r="N49" s="1">
        <v>1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U49" s="1">
        <v>7.6</v>
      </c>
      <c r="V49" s="1">
        <f t="shared" si="3"/>
        <v>46.3</v>
      </c>
      <c r="W49" s="1">
        <f t="shared" si="4"/>
        <v>2143.69</v>
      </c>
    </row>
    <row r="50" spans="1:23">
      <c r="A50" s="1">
        <v>26</v>
      </c>
      <c r="B50" s="1" t="s">
        <v>92</v>
      </c>
      <c r="C50" s="1">
        <f t="shared" si="5"/>
        <v>-7.6</v>
      </c>
      <c r="D50">
        <f t="shared" si="2"/>
        <v>-53.9</v>
      </c>
      <c r="E50"/>
      <c r="F50" s="1">
        <v>0</v>
      </c>
      <c r="G50" s="1">
        <v>2</v>
      </c>
      <c r="H50" s="1">
        <v>0</v>
      </c>
      <c r="I50" s="1">
        <v>0</v>
      </c>
      <c r="J50" s="1">
        <v>0</v>
      </c>
      <c r="K50" s="1">
        <v>0</v>
      </c>
      <c r="L50" s="1">
        <v>4</v>
      </c>
      <c r="M50" s="1">
        <v>1</v>
      </c>
      <c r="N50" s="1">
        <v>0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U50" s="1">
        <v>7.3</v>
      </c>
      <c r="V50" s="1">
        <f t="shared" si="3"/>
        <v>47</v>
      </c>
      <c r="W50" s="1">
        <f t="shared" si="4"/>
        <v>2209</v>
      </c>
    </row>
    <row r="51" spans="1:23">
      <c r="A51" s="1">
        <v>27</v>
      </c>
      <c r="B51" s="1" t="s">
        <v>93</v>
      </c>
      <c r="C51" s="1">
        <f t="shared" si="5"/>
        <v>-7.3</v>
      </c>
      <c r="D51">
        <f t="shared" si="2"/>
        <v>-54.3</v>
      </c>
      <c r="E51"/>
      <c r="F51" s="1">
        <v>0</v>
      </c>
      <c r="G51" s="1">
        <v>2</v>
      </c>
      <c r="H51" s="1">
        <v>0</v>
      </c>
      <c r="I51" s="1">
        <v>2</v>
      </c>
      <c r="J51" s="1">
        <v>0</v>
      </c>
      <c r="K51" s="1">
        <v>0</v>
      </c>
      <c r="L51" s="1">
        <v>2</v>
      </c>
      <c r="M51" s="1">
        <v>0</v>
      </c>
      <c r="N51" s="1">
        <v>1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U51" s="1">
        <v>6.8</v>
      </c>
      <c r="V51" s="1">
        <f t="shared" si="3"/>
        <v>45.3</v>
      </c>
      <c r="W51" s="1">
        <f t="shared" si="4"/>
        <v>2052.09</v>
      </c>
    </row>
    <row r="52" spans="1:23">
      <c r="A52" s="1">
        <v>28</v>
      </c>
      <c r="B52" s="1" t="s">
        <v>94</v>
      </c>
      <c r="C52" s="1">
        <f t="shared" si="5"/>
        <v>-6.8</v>
      </c>
      <c r="D52">
        <f t="shared" si="2"/>
        <v>-52.1</v>
      </c>
      <c r="E52"/>
      <c r="F52" s="1">
        <v>2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2</v>
      </c>
      <c r="M52" s="1">
        <v>0</v>
      </c>
      <c r="N52" s="1">
        <v>0</v>
      </c>
      <c r="O52" s="1">
        <v>2</v>
      </c>
      <c r="P52" s="1">
        <v>1</v>
      </c>
      <c r="Q52" s="1">
        <v>0</v>
      </c>
      <c r="R52" s="1">
        <v>0</v>
      </c>
      <c r="S52" s="1">
        <v>0</v>
      </c>
      <c r="U52" s="1">
        <v>9</v>
      </c>
      <c r="V52" s="1">
        <f t="shared" si="3"/>
        <v>47.1</v>
      </c>
      <c r="W52" s="1">
        <f t="shared" si="4"/>
        <v>2218.41</v>
      </c>
    </row>
    <row r="53" spans="1:23">
      <c r="A53" s="1">
        <v>29</v>
      </c>
      <c r="B53" s="1" t="s">
        <v>27</v>
      </c>
      <c r="C53" s="1">
        <f t="shared" si="5"/>
        <v>-9</v>
      </c>
      <c r="D53">
        <f t="shared" ref="D53:D84" si="6">F$24*F53+G$24*G53+H$24*H53+I$24*I53+J$24*J53+K$24*K53+L$24*L53+M$24*M53+N$24*N53+O$24*O53+P$24*P53+Q$24*Q53+R$24*R53+S$24*S53</f>
        <v>-56.1</v>
      </c>
      <c r="E53"/>
      <c r="F53" s="1">
        <v>0</v>
      </c>
      <c r="G53" s="1">
        <v>0</v>
      </c>
      <c r="H53" s="1">
        <v>0</v>
      </c>
      <c r="I53" s="1">
        <v>0</v>
      </c>
      <c r="J53" s="1">
        <v>2</v>
      </c>
      <c r="K53" s="1">
        <v>0</v>
      </c>
      <c r="L53" s="1">
        <v>2</v>
      </c>
      <c r="M53" s="1">
        <v>1</v>
      </c>
      <c r="N53" s="1">
        <v>0</v>
      </c>
      <c r="O53" s="1">
        <v>2</v>
      </c>
      <c r="P53" s="1">
        <v>1</v>
      </c>
      <c r="Q53" s="1">
        <v>0</v>
      </c>
      <c r="R53" s="1">
        <v>0</v>
      </c>
      <c r="S53" s="1">
        <v>0</v>
      </c>
      <c r="U53" s="1">
        <v>8.7</v>
      </c>
      <c r="V53" s="1">
        <f t="shared" si="3"/>
        <v>43.4</v>
      </c>
      <c r="W53" s="1">
        <f t="shared" si="4"/>
        <v>1883.56</v>
      </c>
    </row>
    <row r="54" spans="1:23">
      <c r="A54" s="1">
        <v>30</v>
      </c>
      <c r="B54" s="1" t="s">
        <v>95</v>
      </c>
      <c r="C54" s="1">
        <f t="shared" si="5"/>
        <v>-8.7</v>
      </c>
      <c r="D54">
        <f t="shared" si="6"/>
        <v>-52.1</v>
      </c>
      <c r="E54"/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2</v>
      </c>
      <c r="L54" s="1">
        <v>2</v>
      </c>
      <c r="M54" s="1">
        <v>0</v>
      </c>
      <c r="N54" s="1">
        <v>1</v>
      </c>
      <c r="O54" s="1">
        <v>2</v>
      </c>
      <c r="P54" s="1">
        <v>1</v>
      </c>
      <c r="Q54" s="1">
        <v>0</v>
      </c>
      <c r="R54" s="1">
        <v>0</v>
      </c>
      <c r="S54" s="1">
        <v>0</v>
      </c>
      <c r="U54" s="1">
        <v>5.5</v>
      </c>
      <c r="V54" s="1">
        <f t="shared" si="3"/>
        <v>44.2</v>
      </c>
      <c r="W54" s="1">
        <f t="shared" si="4"/>
        <v>1953.64</v>
      </c>
    </row>
    <row r="55" spans="1:23">
      <c r="A55" s="1">
        <v>31</v>
      </c>
      <c r="B55" s="1" t="s">
        <v>96</v>
      </c>
      <c r="C55" s="1">
        <f t="shared" si="5"/>
        <v>-5.5</v>
      </c>
      <c r="D55">
        <f t="shared" si="6"/>
        <v>-49.7</v>
      </c>
      <c r="E55"/>
      <c r="F55" s="1">
        <v>0</v>
      </c>
      <c r="G55" s="1">
        <v>1</v>
      </c>
      <c r="H55" s="1">
        <v>2</v>
      </c>
      <c r="I55" s="1">
        <v>0</v>
      </c>
      <c r="J55" s="1">
        <v>2</v>
      </c>
      <c r="K55" s="1">
        <v>0</v>
      </c>
      <c r="L55" s="1">
        <v>0</v>
      </c>
      <c r="M55" s="1">
        <v>0</v>
      </c>
      <c r="N55" s="1">
        <v>0</v>
      </c>
      <c r="O55" s="1">
        <v>2</v>
      </c>
      <c r="P55" s="1">
        <v>1</v>
      </c>
      <c r="Q55" s="1">
        <v>0</v>
      </c>
      <c r="R55" s="1">
        <v>0</v>
      </c>
      <c r="S55" s="1">
        <v>0</v>
      </c>
      <c r="U55" s="1">
        <v>7.1</v>
      </c>
      <c r="V55" s="1">
        <f t="shared" si="3"/>
        <v>50</v>
      </c>
      <c r="W55" s="1">
        <f t="shared" si="4"/>
        <v>2500</v>
      </c>
    </row>
    <row r="56" spans="1:23">
      <c r="A56" s="1">
        <v>32</v>
      </c>
      <c r="B56" s="1" t="s">
        <v>97</v>
      </c>
      <c r="C56" s="1">
        <f t="shared" si="5"/>
        <v>-7.1</v>
      </c>
      <c r="D56">
        <f t="shared" si="6"/>
        <v>-57.1</v>
      </c>
      <c r="E56"/>
      <c r="F56" s="1">
        <v>0</v>
      </c>
      <c r="G56" s="1">
        <v>0</v>
      </c>
      <c r="H56" s="1">
        <v>2</v>
      </c>
      <c r="I56" s="1">
        <v>0</v>
      </c>
      <c r="J56" s="1">
        <v>4</v>
      </c>
      <c r="K56" s="1">
        <v>0</v>
      </c>
      <c r="L56" s="1">
        <v>0</v>
      </c>
      <c r="M56" s="1">
        <v>1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U56" s="1">
        <v>7</v>
      </c>
      <c r="V56" s="1">
        <f t="shared" si="3"/>
        <v>46.1</v>
      </c>
      <c r="W56" s="1">
        <f t="shared" si="4"/>
        <v>2125.21</v>
      </c>
    </row>
    <row r="57" spans="1:23">
      <c r="A57" s="1">
        <v>33</v>
      </c>
      <c r="B57" s="1" t="s">
        <v>98</v>
      </c>
      <c r="C57" s="1">
        <f t="shared" si="5"/>
        <v>-7</v>
      </c>
      <c r="D57">
        <f t="shared" si="6"/>
        <v>-53.1</v>
      </c>
      <c r="E57"/>
      <c r="F57" s="1">
        <v>0</v>
      </c>
      <c r="G57" s="1">
        <v>0</v>
      </c>
      <c r="H57" s="1">
        <v>2</v>
      </c>
      <c r="I57" s="1">
        <v>0</v>
      </c>
      <c r="J57" s="1">
        <v>2</v>
      </c>
      <c r="K57" s="1">
        <v>2</v>
      </c>
      <c r="L57" s="1">
        <v>0</v>
      </c>
      <c r="M57" s="1">
        <v>0</v>
      </c>
      <c r="N57" s="1">
        <v>1</v>
      </c>
      <c r="O57" s="1">
        <v>0</v>
      </c>
      <c r="P57" s="1">
        <v>1</v>
      </c>
      <c r="Q57" s="1">
        <v>0</v>
      </c>
      <c r="R57" s="1">
        <v>0</v>
      </c>
      <c r="S57" s="1">
        <v>0</v>
      </c>
      <c r="U57" s="1">
        <v>7.5</v>
      </c>
      <c r="V57" s="1">
        <f t="shared" ref="V57:V83" si="7">ABS(C58-D58)</f>
        <v>52.4</v>
      </c>
      <c r="W57" s="1">
        <f t="shared" ref="W57:W83" si="8">(D58-C58)^2</f>
        <v>2745.76</v>
      </c>
    </row>
    <row r="58" spans="1:23">
      <c r="A58" s="1">
        <v>34</v>
      </c>
      <c r="B58" s="1" t="s">
        <v>99</v>
      </c>
      <c r="C58" s="1">
        <f t="shared" ref="C58:C84" si="9">U57*-1</f>
        <v>-7.5</v>
      </c>
      <c r="D58">
        <f t="shared" si="6"/>
        <v>-59.9</v>
      </c>
      <c r="E58"/>
      <c r="F58" s="1">
        <v>2</v>
      </c>
      <c r="G58" s="1">
        <v>0</v>
      </c>
      <c r="H58" s="1">
        <v>0</v>
      </c>
      <c r="I58" s="1">
        <v>2</v>
      </c>
      <c r="J58" s="1">
        <v>2</v>
      </c>
      <c r="K58" s="1">
        <v>0</v>
      </c>
      <c r="L58" s="1">
        <v>0</v>
      </c>
      <c r="M58" s="1">
        <v>0</v>
      </c>
      <c r="N58" s="1">
        <v>1</v>
      </c>
      <c r="O58" s="1">
        <v>0</v>
      </c>
      <c r="P58" s="1">
        <v>1</v>
      </c>
      <c r="Q58" s="1">
        <v>0</v>
      </c>
      <c r="R58" s="1">
        <v>0</v>
      </c>
      <c r="S58" s="1">
        <v>0</v>
      </c>
      <c r="U58" s="1">
        <v>7.2</v>
      </c>
      <c r="V58" s="1">
        <f t="shared" si="7"/>
        <v>56.7</v>
      </c>
      <c r="W58" s="1">
        <f t="shared" si="8"/>
        <v>3214.89</v>
      </c>
    </row>
    <row r="59" spans="1:23">
      <c r="A59" s="1">
        <v>35</v>
      </c>
      <c r="B59" s="1" t="s">
        <v>100</v>
      </c>
      <c r="C59" s="1">
        <f t="shared" si="9"/>
        <v>-7.2</v>
      </c>
      <c r="D59">
        <f t="shared" si="6"/>
        <v>-63.9</v>
      </c>
      <c r="E59"/>
      <c r="F59" s="1">
        <v>6</v>
      </c>
      <c r="G59" s="1">
        <v>0</v>
      </c>
      <c r="H59" s="1">
        <v>0</v>
      </c>
      <c r="I59" s="1">
        <v>1</v>
      </c>
      <c r="J59" s="1">
        <v>0</v>
      </c>
      <c r="K59" s="1">
        <v>1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U59" s="1">
        <v>7.7</v>
      </c>
      <c r="V59" s="1">
        <f t="shared" si="7"/>
        <v>55.4</v>
      </c>
      <c r="W59" s="1">
        <f t="shared" si="8"/>
        <v>3069.16</v>
      </c>
    </row>
    <row r="60" spans="1:23">
      <c r="A60" s="1">
        <v>36</v>
      </c>
      <c r="B60" s="1" t="s">
        <v>101</v>
      </c>
      <c r="C60" s="1">
        <f t="shared" si="9"/>
        <v>-7.7</v>
      </c>
      <c r="D60">
        <f t="shared" si="6"/>
        <v>-63.1</v>
      </c>
      <c r="E60"/>
      <c r="F60" s="1">
        <v>4</v>
      </c>
      <c r="G60" s="1">
        <v>0</v>
      </c>
      <c r="H60" s="1">
        <v>0</v>
      </c>
      <c r="I60" s="1">
        <v>2</v>
      </c>
      <c r="J60" s="1">
        <v>1</v>
      </c>
      <c r="K60" s="1">
        <v>1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  <c r="U60" s="1">
        <v>6.5</v>
      </c>
      <c r="V60" s="1">
        <f t="shared" si="7"/>
        <v>53.4</v>
      </c>
      <c r="W60" s="1">
        <f t="shared" si="8"/>
        <v>2851.56</v>
      </c>
    </row>
    <row r="61" spans="1:23">
      <c r="A61" s="1">
        <v>37</v>
      </c>
      <c r="B61" s="1" t="s">
        <v>102</v>
      </c>
      <c r="C61" s="1">
        <f t="shared" si="9"/>
        <v>-6.5</v>
      </c>
      <c r="D61">
        <f t="shared" si="6"/>
        <v>-59.9</v>
      </c>
      <c r="E61"/>
      <c r="F61" s="1">
        <v>4</v>
      </c>
      <c r="G61" s="1">
        <v>1</v>
      </c>
      <c r="H61" s="1">
        <v>1</v>
      </c>
      <c r="I61" s="1">
        <v>1</v>
      </c>
      <c r="J61" s="1">
        <v>0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U61" s="1">
        <v>7.3</v>
      </c>
      <c r="V61" s="1">
        <f t="shared" si="7"/>
        <v>53.6</v>
      </c>
      <c r="W61" s="1">
        <f t="shared" si="8"/>
        <v>2872.96</v>
      </c>
    </row>
    <row r="62" spans="1:23">
      <c r="A62" s="1">
        <v>38</v>
      </c>
      <c r="B62" s="1" t="s">
        <v>103</v>
      </c>
      <c r="C62" s="1">
        <f t="shared" si="9"/>
        <v>-7.3</v>
      </c>
      <c r="D62">
        <f t="shared" si="6"/>
        <v>-60.9</v>
      </c>
      <c r="E62"/>
      <c r="F62" s="1">
        <v>4</v>
      </c>
      <c r="G62" s="1">
        <v>0</v>
      </c>
      <c r="H62" s="1">
        <v>0</v>
      </c>
      <c r="I62" s="1">
        <v>1</v>
      </c>
      <c r="J62" s="1">
        <v>0</v>
      </c>
      <c r="K62" s="1">
        <v>2</v>
      </c>
      <c r="L62" s="1">
        <v>1</v>
      </c>
      <c r="M62" s="1">
        <v>0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U62" s="1">
        <v>12.9</v>
      </c>
      <c r="V62" s="1">
        <f t="shared" si="7"/>
        <v>68.2</v>
      </c>
      <c r="W62" s="1">
        <f t="shared" si="8"/>
        <v>4651.24</v>
      </c>
    </row>
    <row r="63" spans="1:23">
      <c r="A63" s="1">
        <v>39</v>
      </c>
      <c r="B63" s="1" t="s">
        <v>57</v>
      </c>
      <c r="C63" s="1">
        <f t="shared" si="9"/>
        <v>-12.9</v>
      </c>
      <c r="D63">
        <f t="shared" si="6"/>
        <v>-81.1</v>
      </c>
      <c r="E63"/>
      <c r="F63" s="1">
        <v>2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2</v>
      </c>
      <c r="M63" s="1">
        <v>2</v>
      </c>
      <c r="N63" s="1">
        <v>2</v>
      </c>
      <c r="O63" s="1">
        <v>0</v>
      </c>
      <c r="P63" s="1">
        <v>1</v>
      </c>
      <c r="Q63" s="1">
        <v>0</v>
      </c>
      <c r="R63" s="1">
        <v>0</v>
      </c>
      <c r="S63" s="1">
        <v>0</v>
      </c>
      <c r="U63" s="1">
        <v>13.3</v>
      </c>
      <c r="V63" s="1">
        <f t="shared" si="7"/>
        <v>63.9</v>
      </c>
      <c r="W63" s="1">
        <f t="shared" si="8"/>
        <v>4083.21</v>
      </c>
    </row>
    <row r="64" spans="1:23">
      <c r="A64" s="1">
        <v>40</v>
      </c>
      <c r="B64" s="1" t="s">
        <v>104</v>
      </c>
      <c r="C64" s="1">
        <f t="shared" si="9"/>
        <v>-13.3</v>
      </c>
      <c r="D64">
        <f t="shared" si="6"/>
        <v>-77.2</v>
      </c>
      <c r="E64"/>
      <c r="F64" s="1">
        <v>0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2</v>
      </c>
      <c r="P64" s="1">
        <v>1</v>
      </c>
      <c r="Q64" s="1">
        <v>0</v>
      </c>
      <c r="R64" s="1">
        <v>0</v>
      </c>
      <c r="S64" s="1">
        <v>0</v>
      </c>
      <c r="U64" s="1">
        <v>11.9</v>
      </c>
      <c r="V64" s="1">
        <f t="shared" si="7"/>
        <v>61.1</v>
      </c>
      <c r="W64" s="1">
        <f t="shared" si="8"/>
        <v>3733.21</v>
      </c>
    </row>
    <row r="65" spans="1:23">
      <c r="A65" s="1">
        <v>41</v>
      </c>
      <c r="B65" s="1" t="s">
        <v>105</v>
      </c>
      <c r="C65" s="1">
        <f t="shared" si="9"/>
        <v>-11.9</v>
      </c>
      <c r="D65">
        <f t="shared" si="6"/>
        <v>-73</v>
      </c>
      <c r="E65"/>
      <c r="F65" s="1">
        <v>2</v>
      </c>
      <c r="G65" s="1">
        <v>0</v>
      </c>
      <c r="H65" s="1">
        <v>0</v>
      </c>
      <c r="I65" s="1">
        <v>0</v>
      </c>
      <c r="J65" s="1">
        <v>0</v>
      </c>
      <c r="K65" s="1">
        <v>1</v>
      </c>
      <c r="L65" s="1">
        <v>1</v>
      </c>
      <c r="M65" s="1">
        <v>2</v>
      </c>
      <c r="N65" s="1">
        <v>2</v>
      </c>
      <c r="O65" s="1">
        <v>0</v>
      </c>
      <c r="P65" s="1">
        <v>1</v>
      </c>
      <c r="Q65" s="1">
        <v>0</v>
      </c>
      <c r="R65" s="1">
        <v>0</v>
      </c>
      <c r="S65" s="1">
        <v>0</v>
      </c>
      <c r="U65" s="1">
        <v>12.2</v>
      </c>
      <c r="V65" s="1">
        <f t="shared" si="7"/>
        <v>63</v>
      </c>
      <c r="W65" s="1">
        <f t="shared" si="8"/>
        <v>3969</v>
      </c>
    </row>
    <row r="66" spans="1:23">
      <c r="A66" s="1">
        <v>42</v>
      </c>
      <c r="B66" s="1" t="s">
        <v>106</v>
      </c>
      <c r="C66" s="1">
        <f t="shared" si="9"/>
        <v>-12.2</v>
      </c>
      <c r="D66">
        <f t="shared" si="6"/>
        <v>-75.2</v>
      </c>
      <c r="E66"/>
      <c r="F66" s="1">
        <v>1</v>
      </c>
      <c r="G66" s="1">
        <v>1</v>
      </c>
      <c r="H66" s="1">
        <v>1</v>
      </c>
      <c r="I66" s="1">
        <v>2</v>
      </c>
      <c r="J66" s="1">
        <v>1</v>
      </c>
      <c r="K66" s="1">
        <v>1</v>
      </c>
      <c r="L66" s="1">
        <v>0</v>
      </c>
      <c r="M66" s="1">
        <v>0</v>
      </c>
      <c r="N66" s="1">
        <v>1</v>
      </c>
      <c r="O66" s="1">
        <v>2</v>
      </c>
      <c r="P66" s="1">
        <v>1</v>
      </c>
      <c r="Q66" s="1">
        <v>0</v>
      </c>
      <c r="R66" s="1">
        <v>0</v>
      </c>
      <c r="S66" s="1">
        <v>0</v>
      </c>
      <c r="U66" s="1">
        <v>12.6</v>
      </c>
      <c r="V66" s="1">
        <f t="shared" si="7"/>
        <v>71.4</v>
      </c>
      <c r="W66" s="1">
        <f t="shared" si="8"/>
        <v>5097.96</v>
      </c>
    </row>
    <row r="67" spans="1:23">
      <c r="A67" s="1">
        <v>43</v>
      </c>
      <c r="B67" s="1" t="s">
        <v>107</v>
      </c>
      <c r="C67" s="1">
        <f t="shared" si="9"/>
        <v>-12.6</v>
      </c>
      <c r="D67">
        <f t="shared" si="6"/>
        <v>-84</v>
      </c>
      <c r="E67"/>
      <c r="F67" s="1">
        <v>1</v>
      </c>
      <c r="G67" s="1">
        <v>0</v>
      </c>
      <c r="H67" s="1">
        <v>0</v>
      </c>
      <c r="I67" s="1">
        <v>3</v>
      </c>
      <c r="J67" s="1">
        <v>3</v>
      </c>
      <c r="K67" s="1">
        <v>2</v>
      </c>
      <c r="L67" s="1">
        <v>2</v>
      </c>
      <c r="M67" s="1">
        <v>0</v>
      </c>
      <c r="N67" s="1">
        <v>0</v>
      </c>
      <c r="O67" s="1">
        <v>0</v>
      </c>
      <c r="P67" s="1">
        <v>1</v>
      </c>
      <c r="Q67" s="1">
        <v>0</v>
      </c>
      <c r="R67" s="1">
        <v>0</v>
      </c>
      <c r="S67" s="1">
        <v>0</v>
      </c>
      <c r="U67" s="1">
        <v>12.7</v>
      </c>
      <c r="V67" s="1">
        <f t="shared" si="7"/>
        <v>80</v>
      </c>
      <c r="W67" s="1">
        <f t="shared" si="8"/>
        <v>6400</v>
      </c>
    </row>
    <row r="68" spans="1:23">
      <c r="A68" s="1">
        <v>44</v>
      </c>
      <c r="B68" s="1" t="s">
        <v>62</v>
      </c>
      <c r="C68" s="1">
        <f t="shared" si="9"/>
        <v>-12.7</v>
      </c>
      <c r="D68">
        <f t="shared" si="6"/>
        <v>-92.7</v>
      </c>
      <c r="E68"/>
      <c r="F68" s="1">
        <v>0</v>
      </c>
      <c r="G68" s="1">
        <v>4</v>
      </c>
      <c r="H68" s="1">
        <v>2</v>
      </c>
      <c r="I68" s="1">
        <v>4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2</v>
      </c>
      <c r="P68" s="1">
        <v>1</v>
      </c>
      <c r="Q68" s="1">
        <v>0</v>
      </c>
      <c r="R68" s="1">
        <v>0</v>
      </c>
      <c r="S68" s="1">
        <v>0</v>
      </c>
      <c r="U68" s="1">
        <v>3.3</v>
      </c>
      <c r="V68" s="1">
        <f t="shared" si="7"/>
        <v>33</v>
      </c>
      <c r="W68" s="1">
        <f t="shared" si="8"/>
        <v>1089</v>
      </c>
    </row>
    <row r="69" spans="1:23">
      <c r="A69" s="1">
        <v>45</v>
      </c>
      <c r="B69" s="1" t="s">
        <v>108</v>
      </c>
      <c r="C69" s="1">
        <f t="shared" si="9"/>
        <v>-3.3</v>
      </c>
      <c r="D69">
        <f t="shared" si="6"/>
        <v>-36.3</v>
      </c>
      <c r="E69"/>
      <c r="F69" s="1">
        <v>0</v>
      </c>
      <c r="G69" s="1">
        <v>1</v>
      </c>
      <c r="H69" s="1">
        <v>0</v>
      </c>
      <c r="I69" s="1">
        <v>2</v>
      </c>
      <c r="J69" s="1">
        <v>0</v>
      </c>
      <c r="K69" s="1">
        <v>0</v>
      </c>
      <c r="L69" s="1">
        <v>2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R69" s="1">
        <v>0</v>
      </c>
      <c r="S69" s="1">
        <v>1</v>
      </c>
      <c r="U69" s="1">
        <v>2.8</v>
      </c>
      <c r="V69" s="1">
        <f t="shared" si="7"/>
        <v>33.5</v>
      </c>
      <c r="W69" s="1">
        <f t="shared" si="8"/>
        <v>1122.25</v>
      </c>
    </row>
    <row r="70" spans="1:23">
      <c r="A70" s="1">
        <v>46</v>
      </c>
      <c r="B70" s="1" t="s">
        <v>109</v>
      </c>
      <c r="C70" s="1">
        <f t="shared" si="9"/>
        <v>-2.8</v>
      </c>
      <c r="D70">
        <f t="shared" si="6"/>
        <v>-36.3</v>
      </c>
      <c r="E70"/>
      <c r="F70" s="1">
        <v>0</v>
      </c>
      <c r="G70" s="1">
        <v>1</v>
      </c>
      <c r="H70" s="1">
        <v>0</v>
      </c>
      <c r="I70" s="1">
        <v>2</v>
      </c>
      <c r="J70" s="1">
        <v>0</v>
      </c>
      <c r="K70" s="1">
        <v>0</v>
      </c>
      <c r="L70" s="1">
        <v>2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0</v>
      </c>
      <c r="S70" s="1">
        <v>1</v>
      </c>
      <c r="U70" s="1">
        <v>4.5</v>
      </c>
      <c r="V70" s="1">
        <f t="shared" si="7"/>
        <v>54.3</v>
      </c>
      <c r="W70" s="1">
        <f t="shared" si="8"/>
        <v>2948.49</v>
      </c>
    </row>
    <row r="71" spans="1:23">
      <c r="A71" s="1">
        <v>47</v>
      </c>
      <c r="B71" s="1" t="s">
        <v>110</v>
      </c>
      <c r="C71" s="1">
        <f t="shared" si="9"/>
        <v>-4.5</v>
      </c>
      <c r="D71">
        <f t="shared" si="6"/>
        <v>-58.8</v>
      </c>
      <c r="E71"/>
      <c r="F71" s="1">
        <v>7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R71" s="1">
        <v>0</v>
      </c>
      <c r="S71" s="1">
        <v>0</v>
      </c>
      <c r="U71" s="1">
        <v>5.1</v>
      </c>
      <c r="V71" s="1">
        <f t="shared" si="7"/>
        <v>41.2</v>
      </c>
      <c r="W71" s="1">
        <f t="shared" si="8"/>
        <v>1697.44</v>
      </c>
    </row>
    <row r="72" spans="1:23">
      <c r="A72" s="1">
        <v>48</v>
      </c>
      <c r="B72" s="1" t="s">
        <v>111</v>
      </c>
      <c r="C72" s="1">
        <f t="shared" si="9"/>
        <v>-5.1</v>
      </c>
      <c r="D72">
        <f t="shared" si="6"/>
        <v>-46.3</v>
      </c>
      <c r="E72"/>
      <c r="F72" s="1">
        <v>0</v>
      </c>
      <c r="G72" s="1">
        <v>1</v>
      </c>
      <c r="H72" s="1">
        <v>2</v>
      </c>
      <c r="I72" s="1">
        <v>0</v>
      </c>
      <c r="J72" s="1">
        <v>0</v>
      </c>
      <c r="K72" s="1">
        <v>2</v>
      </c>
      <c r="L72" s="1">
        <v>2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0</v>
      </c>
      <c r="S72" s="1">
        <v>1</v>
      </c>
      <c r="U72" s="1">
        <v>4.3</v>
      </c>
      <c r="V72" s="1">
        <f t="shared" si="7"/>
        <v>42</v>
      </c>
      <c r="W72" s="1">
        <f t="shared" si="8"/>
        <v>1764</v>
      </c>
    </row>
    <row r="73" spans="1:23">
      <c r="A73" s="1">
        <v>49</v>
      </c>
      <c r="B73" s="1" t="s">
        <v>112</v>
      </c>
      <c r="C73" s="1">
        <f t="shared" si="9"/>
        <v>-4.3</v>
      </c>
      <c r="D73">
        <f t="shared" si="6"/>
        <v>-46.3</v>
      </c>
      <c r="E73"/>
      <c r="F73" s="1">
        <v>0</v>
      </c>
      <c r="G73" s="1">
        <v>1</v>
      </c>
      <c r="H73" s="1">
        <v>2</v>
      </c>
      <c r="I73" s="1">
        <v>0</v>
      </c>
      <c r="J73" s="1">
        <v>0</v>
      </c>
      <c r="K73" s="1">
        <v>2</v>
      </c>
      <c r="L73" s="1">
        <v>2</v>
      </c>
      <c r="M73" s="1">
        <v>0</v>
      </c>
      <c r="N73" s="1">
        <v>0</v>
      </c>
      <c r="O73" s="1">
        <v>0</v>
      </c>
      <c r="P73" s="1">
        <v>0</v>
      </c>
      <c r="Q73" s="1">
        <v>1</v>
      </c>
      <c r="R73" s="1">
        <v>0</v>
      </c>
      <c r="S73" s="1">
        <v>1</v>
      </c>
      <c r="U73" s="1">
        <v>10</v>
      </c>
      <c r="V73" s="1">
        <f t="shared" si="7"/>
        <v>56.5</v>
      </c>
      <c r="W73" s="1">
        <f t="shared" si="8"/>
        <v>3192.25</v>
      </c>
    </row>
    <row r="74" spans="1:23">
      <c r="A74" s="1">
        <v>50</v>
      </c>
      <c r="B74" s="1" t="s">
        <v>45</v>
      </c>
      <c r="C74" s="1">
        <f t="shared" si="9"/>
        <v>-10</v>
      </c>
      <c r="D74">
        <f t="shared" si="6"/>
        <v>-66.5</v>
      </c>
      <c r="E74"/>
      <c r="F74" s="1">
        <v>0</v>
      </c>
      <c r="G74" s="1">
        <v>2</v>
      </c>
      <c r="H74" s="1">
        <v>0</v>
      </c>
      <c r="I74" s="1">
        <v>2</v>
      </c>
      <c r="J74" s="1">
        <v>0</v>
      </c>
      <c r="K74" s="1">
        <v>2</v>
      </c>
      <c r="L74" s="1">
        <v>2</v>
      </c>
      <c r="M74" s="1">
        <v>0</v>
      </c>
      <c r="N74" s="1">
        <v>1</v>
      </c>
      <c r="O74" s="1">
        <v>0</v>
      </c>
      <c r="P74" s="1">
        <v>0</v>
      </c>
      <c r="Q74" s="1">
        <v>1</v>
      </c>
      <c r="R74" s="1">
        <v>0</v>
      </c>
      <c r="S74" s="1">
        <v>0</v>
      </c>
      <c r="U74" s="1">
        <v>5.5</v>
      </c>
      <c r="V74" s="1">
        <f t="shared" si="7"/>
        <v>76.4</v>
      </c>
      <c r="W74" s="1">
        <f t="shared" si="8"/>
        <v>5836.96</v>
      </c>
    </row>
    <row r="75" spans="1:23">
      <c r="A75" s="1">
        <v>51</v>
      </c>
      <c r="B75" s="1" t="s">
        <v>113</v>
      </c>
      <c r="C75" s="1">
        <f t="shared" si="9"/>
        <v>-5.5</v>
      </c>
      <c r="D75">
        <f t="shared" si="6"/>
        <v>-81.9</v>
      </c>
      <c r="E75"/>
      <c r="F75" s="1">
        <v>6</v>
      </c>
      <c r="G75" s="1">
        <v>2</v>
      </c>
      <c r="H75" s="1">
        <v>3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>
        <v>0</v>
      </c>
      <c r="S75" s="1">
        <v>1</v>
      </c>
      <c r="U75" s="1">
        <v>12.4</v>
      </c>
      <c r="V75" s="1">
        <f t="shared" si="7"/>
        <v>96.8</v>
      </c>
      <c r="W75" s="1">
        <f t="shared" si="8"/>
        <v>9370.24</v>
      </c>
    </row>
    <row r="76" spans="1:23">
      <c r="A76" s="1">
        <v>52</v>
      </c>
      <c r="B76" s="1" t="s">
        <v>114</v>
      </c>
      <c r="C76" s="1">
        <f t="shared" si="9"/>
        <v>-12.4</v>
      </c>
      <c r="D76">
        <f t="shared" si="6"/>
        <v>-109.2</v>
      </c>
      <c r="E76"/>
      <c r="F76" s="1">
        <v>4</v>
      </c>
      <c r="G76" s="1">
        <v>3</v>
      </c>
      <c r="H76" s="1">
        <v>3</v>
      </c>
      <c r="I76" s="1">
        <v>2</v>
      </c>
      <c r="J76" s="1">
        <v>1</v>
      </c>
      <c r="K76" s="1">
        <v>1</v>
      </c>
      <c r="L76" s="1">
        <v>1</v>
      </c>
      <c r="M76" s="1">
        <v>0</v>
      </c>
      <c r="N76" s="1">
        <v>0</v>
      </c>
      <c r="O76" s="1">
        <v>0</v>
      </c>
      <c r="P76" s="1">
        <v>1</v>
      </c>
      <c r="Q76" s="1">
        <v>0</v>
      </c>
      <c r="R76" s="1">
        <v>0</v>
      </c>
      <c r="S76" s="1">
        <v>0</v>
      </c>
      <c r="U76" s="1">
        <v>6.9</v>
      </c>
      <c r="V76" s="1">
        <f t="shared" si="7"/>
        <v>30</v>
      </c>
      <c r="W76" s="1">
        <f t="shared" si="8"/>
        <v>900</v>
      </c>
    </row>
    <row r="77" spans="1:23">
      <c r="A77" s="1">
        <v>53</v>
      </c>
      <c r="B77" s="1" t="s">
        <v>115</v>
      </c>
      <c r="C77" s="1">
        <f t="shared" si="9"/>
        <v>-6.9</v>
      </c>
      <c r="D77">
        <f t="shared" si="6"/>
        <v>-36.9</v>
      </c>
      <c r="E77"/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4</v>
      </c>
      <c r="P77" s="1">
        <v>1</v>
      </c>
      <c r="Q77" s="1">
        <v>0</v>
      </c>
      <c r="R77" s="1">
        <v>0</v>
      </c>
      <c r="S77" s="1">
        <v>0</v>
      </c>
      <c r="U77" s="1">
        <v>7.9</v>
      </c>
      <c r="V77" s="1">
        <f t="shared" si="7"/>
        <v>32.4</v>
      </c>
      <c r="W77" s="1">
        <f t="shared" si="8"/>
        <v>1049.76</v>
      </c>
    </row>
    <row r="78" spans="1:23">
      <c r="A78" s="1">
        <v>54</v>
      </c>
      <c r="B78" s="1" t="s">
        <v>116</v>
      </c>
      <c r="C78" s="1">
        <f t="shared" si="9"/>
        <v>-7.9</v>
      </c>
      <c r="D78">
        <f t="shared" si="6"/>
        <v>-40.3</v>
      </c>
      <c r="E78"/>
      <c r="F78" s="1">
        <v>0</v>
      </c>
      <c r="G78" s="1">
        <v>0</v>
      </c>
      <c r="H78" s="1">
        <v>0</v>
      </c>
      <c r="I78" s="1">
        <v>1</v>
      </c>
      <c r="J78" s="1">
        <v>0</v>
      </c>
      <c r="K78" s="1">
        <v>1</v>
      </c>
      <c r="L78" s="1">
        <v>0</v>
      </c>
      <c r="M78" s="1">
        <v>0</v>
      </c>
      <c r="N78" s="1">
        <v>0</v>
      </c>
      <c r="O78" s="1">
        <v>4</v>
      </c>
      <c r="P78" s="1">
        <v>1</v>
      </c>
      <c r="Q78" s="1">
        <v>0</v>
      </c>
      <c r="R78" s="1">
        <v>0</v>
      </c>
      <c r="S78" s="1">
        <v>0</v>
      </c>
      <c r="U78" s="1">
        <v>20.6</v>
      </c>
      <c r="V78" s="1">
        <f t="shared" si="7"/>
        <v>80.7</v>
      </c>
      <c r="W78" s="1">
        <f t="shared" si="8"/>
        <v>6512.49</v>
      </c>
    </row>
    <row r="79" spans="1:23">
      <c r="A79" s="1">
        <v>55</v>
      </c>
      <c r="B79" s="1" t="s">
        <v>117</v>
      </c>
      <c r="C79" s="1">
        <f t="shared" si="9"/>
        <v>-20.6</v>
      </c>
      <c r="D79">
        <f t="shared" si="6"/>
        <v>-101.3</v>
      </c>
      <c r="E79"/>
      <c r="F79" s="1">
        <v>2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2</v>
      </c>
      <c r="M79" s="1">
        <v>4</v>
      </c>
      <c r="N79" s="1">
        <v>2</v>
      </c>
      <c r="O79" s="1">
        <v>0</v>
      </c>
      <c r="P79" s="1">
        <v>1</v>
      </c>
      <c r="Q79" s="1">
        <v>0</v>
      </c>
      <c r="R79" s="1">
        <v>0</v>
      </c>
      <c r="S79" s="1">
        <v>0</v>
      </c>
      <c r="U79" s="1">
        <v>14.4</v>
      </c>
      <c r="V79" s="1">
        <f t="shared" si="7"/>
        <v>86.2</v>
      </c>
      <c r="W79" s="1">
        <f t="shared" si="8"/>
        <v>7430.44</v>
      </c>
    </row>
    <row r="80" spans="1:23">
      <c r="A80" s="1">
        <v>56</v>
      </c>
      <c r="B80" s="1" t="s">
        <v>118</v>
      </c>
      <c r="C80" s="1">
        <f t="shared" si="9"/>
        <v>-14.4</v>
      </c>
      <c r="D80">
        <f t="shared" si="6"/>
        <v>-100.6</v>
      </c>
      <c r="E80"/>
      <c r="F80" s="1">
        <v>0</v>
      </c>
      <c r="G80" s="1">
        <v>1</v>
      </c>
      <c r="H80" s="1">
        <v>1</v>
      </c>
      <c r="I80" s="1">
        <v>2</v>
      </c>
      <c r="J80" s="1">
        <v>2</v>
      </c>
      <c r="K80" s="1">
        <v>0</v>
      </c>
      <c r="L80" s="1">
        <v>0</v>
      </c>
      <c r="M80" s="1">
        <v>2</v>
      </c>
      <c r="N80" s="1">
        <v>2</v>
      </c>
      <c r="O80" s="1">
        <v>2</v>
      </c>
      <c r="P80" s="1">
        <v>1</v>
      </c>
      <c r="Q80" s="1">
        <v>0</v>
      </c>
      <c r="R80" s="1">
        <v>0</v>
      </c>
      <c r="S80" s="1">
        <v>0</v>
      </c>
      <c r="U80" s="1">
        <v>12.3</v>
      </c>
      <c r="V80" s="1">
        <f t="shared" si="7"/>
        <v>83.8</v>
      </c>
      <c r="W80" s="1">
        <f t="shared" si="8"/>
        <v>7022.44</v>
      </c>
    </row>
    <row r="81" spans="1:23">
      <c r="A81" s="1">
        <v>57</v>
      </c>
      <c r="B81" s="1" t="s">
        <v>119</v>
      </c>
      <c r="C81" s="1">
        <f t="shared" si="9"/>
        <v>-12.3</v>
      </c>
      <c r="D81">
        <f t="shared" si="6"/>
        <v>-96.1</v>
      </c>
      <c r="E81"/>
      <c r="F81" s="1">
        <v>0</v>
      </c>
      <c r="G81" s="1">
        <v>2</v>
      </c>
      <c r="H81" s="1">
        <v>4</v>
      </c>
      <c r="I81" s="1">
        <v>0</v>
      </c>
      <c r="J81" s="1">
        <v>4</v>
      </c>
      <c r="K81" s="1">
        <v>0</v>
      </c>
      <c r="L81" s="1">
        <v>0</v>
      </c>
      <c r="M81" s="1">
        <v>1</v>
      </c>
      <c r="N81" s="1">
        <v>0</v>
      </c>
      <c r="O81" s="1">
        <v>2</v>
      </c>
      <c r="P81" s="1">
        <v>1</v>
      </c>
      <c r="Q81" s="1">
        <v>0</v>
      </c>
      <c r="R81" s="1">
        <v>0</v>
      </c>
      <c r="S81" s="1">
        <v>0</v>
      </c>
      <c r="U81" s="1">
        <v>13.2</v>
      </c>
      <c r="V81" s="1">
        <f t="shared" si="7"/>
        <v>96.3</v>
      </c>
      <c r="W81" s="1">
        <f t="shared" si="8"/>
        <v>9273.69</v>
      </c>
    </row>
    <row r="82" spans="1:23">
      <c r="A82" s="1">
        <v>58</v>
      </c>
      <c r="B82" s="1" t="s">
        <v>120</v>
      </c>
      <c r="C82" s="1">
        <f t="shared" si="9"/>
        <v>-13.2</v>
      </c>
      <c r="D82">
        <f t="shared" si="6"/>
        <v>-109.5</v>
      </c>
      <c r="E82"/>
      <c r="F82" s="1">
        <v>2</v>
      </c>
      <c r="G82" s="1">
        <v>4</v>
      </c>
      <c r="H82" s="1">
        <v>2</v>
      </c>
      <c r="I82" s="1">
        <v>4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2</v>
      </c>
      <c r="P82" s="1">
        <v>1</v>
      </c>
      <c r="Q82" s="1">
        <v>0</v>
      </c>
      <c r="R82" s="1">
        <v>0</v>
      </c>
      <c r="S82" s="1">
        <v>0</v>
      </c>
      <c r="U82" s="1">
        <v>14.3</v>
      </c>
      <c r="V82" s="1">
        <f t="shared" si="7"/>
        <v>98.6</v>
      </c>
      <c r="W82" s="1">
        <f t="shared" si="8"/>
        <v>9721.96</v>
      </c>
    </row>
    <row r="83" spans="1:23">
      <c r="A83" s="1">
        <v>59</v>
      </c>
      <c r="B83" s="1" t="s">
        <v>121</v>
      </c>
      <c r="C83" s="1">
        <f t="shared" si="9"/>
        <v>-14.3</v>
      </c>
      <c r="D83">
        <f t="shared" si="6"/>
        <v>-112.9</v>
      </c>
      <c r="E83"/>
      <c r="F83" s="1">
        <v>2</v>
      </c>
      <c r="G83" s="1">
        <v>2</v>
      </c>
      <c r="H83" s="1">
        <v>4</v>
      </c>
      <c r="I83" s="1">
        <v>0</v>
      </c>
      <c r="J83" s="1">
        <v>4</v>
      </c>
      <c r="K83" s="1">
        <v>0</v>
      </c>
      <c r="L83" s="1">
        <v>0</v>
      </c>
      <c r="M83" s="1">
        <v>1</v>
      </c>
      <c r="N83" s="1">
        <v>0</v>
      </c>
      <c r="O83" s="1">
        <v>2</v>
      </c>
      <c r="P83" s="1">
        <v>1</v>
      </c>
      <c r="Q83" s="1">
        <v>0</v>
      </c>
      <c r="R83" s="1">
        <v>0</v>
      </c>
      <c r="S83" s="1">
        <v>0</v>
      </c>
      <c r="U83" s="1">
        <v>29.1</v>
      </c>
      <c r="V83" s="1">
        <f t="shared" si="7"/>
        <v>111.8</v>
      </c>
      <c r="W83" s="1">
        <f t="shared" si="8"/>
        <v>12499.24</v>
      </c>
    </row>
    <row r="84" spans="1:19">
      <c r="A84" s="1">
        <v>60</v>
      </c>
      <c r="B84" s="1" t="s">
        <v>64</v>
      </c>
      <c r="C84" s="1">
        <f t="shared" si="9"/>
        <v>-29.1</v>
      </c>
      <c r="D84">
        <f t="shared" si="6"/>
        <v>-140.9</v>
      </c>
      <c r="E84"/>
      <c r="F84" s="1">
        <v>0</v>
      </c>
      <c r="G84" s="1">
        <v>0</v>
      </c>
      <c r="H84" s="1">
        <v>2</v>
      </c>
      <c r="I84" s="1">
        <v>0</v>
      </c>
      <c r="J84" s="1">
        <v>4</v>
      </c>
      <c r="K84" s="1">
        <v>0</v>
      </c>
      <c r="L84" s="1">
        <v>0</v>
      </c>
      <c r="M84" s="1">
        <v>6</v>
      </c>
      <c r="N84" s="1">
        <v>3</v>
      </c>
      <c r="O84" s="1">
        <v>0</v>
      </c>
      <c r="P84" s="1">
        <v>1</v>
      </c>
      <c r="Q84" s="1">
        <v>0</v>
      </c>
      <c r="R84" s="1">
        <v>0</v>
      </c>
      <c r="S84" s="1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Ghosh</vt:lpstr>
      <vt:lpstr>SantaLucia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Tatsuya Ohyama</cp:lastModifiedBy>
  <dcterms:created xsi:type="dcterms:W3CDTF">2019-02-03T02:30:00Z</dcterms:created>
  <dcterms:modified xsi:type="dcterms:W3CDTF">2019-02-05T16:58:09Z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1041-10.1.0.6757</vt:lpwstr>
  </property>
</Properties>
</file>